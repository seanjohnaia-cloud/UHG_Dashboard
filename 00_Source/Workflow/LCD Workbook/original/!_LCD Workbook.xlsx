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cehebert-my.sharepoint.com/personal/sjohnson_grace-design_com/Documents/!!_Grace Design Studios/United Health Group/AI Run thru/Current/"/>
    </mc:Choice>
  </mc:AlternateContent>
  <xr:revisionPtr revIDLastSave="5" documentId="13_ncr:1_{1FABC3BE-8C45-4196-BEE9-C8C6D5E4B6E0}" xr6:coauthVersionLast="47" xr6:coauthVersionMax="47" xr10:uidLastSave="{9E06B6B1-8C15-4695-A2B3-CE6367190166}"/>
  <bookViews>
    <workbookView xWindow="-110" yWindow="-110" windowWidth="25820" windowHeight="15500" tabRatio="932" xr2:uid="{40D3AEEC-4ED2-465B-9115-1F385FA6807E}"/>
  </bookViews>
  <sheets>
    <sheet name="Life Cycle Data Worksheet" sheetId="3" r:id="rId1"/>
    <sheet name="Design Schedule" sheetId="5" r:id="rId2"/>
    <sheet name="Compensation" sheetId="9" r:id="rId3"/>
    <sheet name="Service Order" sheetId="4" r:id="rId4"/>
    <sheet name="Project Tracking Report" sheetId="7" r:id="rId5"/>
  </sheets>
  <definedNames>
    <definedName name="_xlnm.Print_Area" localSheetId="2">Compensation!$A$1:$H$49</definedName>
    <definedName name="_xlnm.Print_Area" localSheetId="1">'Design Schedule'!$A$1:$R$53</definedName>
    <definedName name="_xlnm.Print_Area" localSheetId="0">'Life Cycle Data Worksheet'!$A$1:$S$50</definedName>
    <definedName name="_xlnm.Print_Area" localSheetId="4">'Project Tracking Report'!$A$1:$P$54</definedName>
    <definedName name="_xlnm.Print_Area" localSheetId="3">'Service Order'!$A$1:$AD$46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H2" i="9"/>
  <c r="C4" i="9"/>
  <c r="C3" i="9"/>
  <c r="C2" i="9"/>
  <c r="B9" i="9"/>
  <c r="H40" i="7"/>
  <c r="H39" i="7"/>
  <c r="C39" i="7"/>
  <c r="E37" i="7"/>
  <c r="H34" i="7"/>
  <c r="H33" i="7"/>
  <c r="C33" i="7"/>
  <c r="H28" i="7"/>
  <c r="H27" i="7"/>
  <c r="C27" i="7"/>
  <c r="E31" i="7"/>
  <c r="H23" i="7"/>
  <c r="H22" i="7"/>
  <c r="C22" i="7"/>
  <c r="H18" i="7"/>
  <c r="H17" i="7"/>
  <c r="C17" i="7"/>
  <c r="F10" i="7"/>
  <c r="F10" i="3" s="1"/>
  <c r="C13" i="7"/>
  <c r="C12" i="7"/>
  <c r="C11" i="7"/>
  <c r="C10" i="7"/>
  <c r="H8" i="7"/>
  <c r="H7" i="7"/>
  <c r="H6" i="7"/>
  <c r="H5" i="7"/>
  <c r="H3" i="7"/>
  <c r="H2" i="7"/>
  <c r="C8" i="7"/>
  <c r="C7" i="7"/>
  <c r="C2" i="7"/>
  <c r="X39" i="4"/>
  <c r="X37" i="4"/>
  <c r="X35" i="4"/>
  <c r="X33" i="4"/>
  <c r="Y12" i="4"/>
  <c r="Y11" i="4"/>
  <c r="K21" i="4"/>
  <c r="K20" i="4"/>
  <c r="K19" i="4"/>
  <c r="K18" i="4"/>
  <c r="K17" i="4"/>
  <c r="K16" i="4"/>
  <c r="K12" i="4"/>
  <c r="K10" i="4"/>
  <c r="K8" i="4"/>
  <c r="A44" i="4"/>
  <c r="A43" i="4"/>
  <c r="A42" i="4"/>
  <c r="A41" i="4"/>
  <c r="A40" i="4"/>
  <c r="A39" i="4"/>
  <c r="A38" i="4"/>
  <c r="A37" i="4"/>
  <c r="A36" i="4"/>
  <c r="A35" i="4"/>
  <c r="A34" i="4"/>
  <c r="A33" i="4"/>
  <c r="C27" i="4"/>
  <c r="C26" i="4"/>
  <c r="A17" i="4"/>
  <c r="B15" i="4"/>
  <c r="B14" i="4"/>
  <c r="B13" i="4"/>
  <c r="H8" i="5"/>
  <c r="H7" i="5"/>
  <c r="H6" i="5"/>
  <c r="H5" i="5"/>
  <c r="H3" i="5"/>
  <c r="H2" i="5"/>
  <c r="C5" i="5"/>
  <c r="C8" i="5"/>
  <c r="C7" i="5"/>
  <c r="C6" i="5"/>
  <c r="C4" i="5"/>
  <c r="C3" i="5"/>
  <c r="C2" i="5"/>
  <c r="H31" i="3"/>
  <c r="C6" i="7"/>
  <c r="C5" i="7"/>
  <c r="C3" i="7"/>
</calcChain>
</file>

<file path=xl/sharedStrings.xml><?xml version="1.0" encoding="utf-8"?>
<sst xmlns="http://schemas.openxmlformats.org/spreadsheetml/2006/main" count="788" uniqueCount="439">
  <si>
    <t>Schedule reduction (savings)</t>
  </si>
  <si>
    <t>Scenario Development</t>
  </si>
  <si>
    <t>Site Due Diligence</t>
  </si>
  <si>
    <t>Detailed Programming</t>
  </si>
  <si>
    <t>Project Start Date:</t>
  </si>
  <si>
    <t>Project Number:</t>
  </si>
  <si>
    <t>Project Location:</t>
  </si>
  <si>
    <t>Project Group:</t>
  </si>
  <si>
    <t>Project Manager:</t>
  </si>
  <si>
    <t>Project Leader:</t>
  </si>
  <si>
    <t>Project Type:</t>
  </si>
  <si>
    <t>Consultants:</t>
  </si>
  <si>
    <t>Phase</t>
  </si>
  <si>
    <t>Design Fee Reporting (Quarterly)</t>
  </si>
  <si>
    <t>Design Fees including all consultants by project, reimbursable costs and any additional services:</t>
  </si>
  <si>
    <t>Proposed/Budgeted Fees vs actual Fees per project:</t>
  </si>
  <si>
    <t>Number of Staff and time spent on Owner's account: Per Phase)</t>
  </si>
  <si>
    <t>AIA Document B221 - Service Order</t>
  </si>
  <si>
    <t>Service Order No.:</t>
  </si>
  <si>
    <t>Service Order Date:</t>
  </si>
  <si>
    <t>Owner:</t>
  </si>
  <si>
    <t>United HealthCare Services, Inc.</t>
  </si>
  <si>
    <t>9700 Healthcare Lane</t>
  </si>
  <si>
    <t>Architect:</t>
  </si>
  <si>
    <t>Grace Healthcare Studios, LLC</t>
  </si>
  <si>
    <t>501 Government Street</t>
  </si>
  <si>
    <t>Suite 200</t>
  </si>
  <si>
    <t>Baton Rouge, LA  70802</t>
  </si>
  <si>
    <t>Minnetonka, MN  55343</t>
  </si>
  <si>
    <t>Location:</t>
  </si>
  <si>
    <t>Master Agreement Dated:</t>
  </si>
  <si>
    <t>Initial Information:</t>
  </si>
  <si>
    <t>N/A</t>
  </si>
  <si>
    <t>Sustainable Objective:</t>
  </si>
  <si>
    <t>Owner's Consultants:</t>
  </si>
  <si>
    <t>Schematic through</t>
  </si>
  <si>
    <t xml:space="preserve">Design Development </t>
  </si>
  <si>
    <t>Phase:</t>
  </si>
  <si>
    <t>Feasibility Phase:</t>
  </si>
  <si>
    <t>Construction Development</t>
  </si>
  <si>
    <t>through Closeout Services:</t>
  </si>
  <si>
    <t>Basic Services</t>
  </si>
  <si>
    <t>Supplemental Services</t>
  </si>
  <si>
    <t>Basic Services Exceptions:</t>
  </si>
  <si>
    <t>Feasibility Phase Exceptions:</t>
  </si>
  <si>
    <t>SD thru DD Exceptions:</t>
  </si>
  <si>
    <t>CD thru Closeout Exceptions:</t>
  </si>
  <si>
    <t>Supplemental and Additional Services:</t>
  </si>
  <si>
    <t>(Architect, Owner or Not Provided)</t>
  </si>
  <si>
    <t>3D scanning services/digital imaging and associated</t>
  </si>
  <si>
    <t>travel/management</t>
  </si>
  <si>
    <t>Field Measurement and Site Due Diligence Report</t>
  </si>
  <si>
    <t>Civil Engineering</t>
  </si>
  <si>
    <t>Landscape Design</t>
  </si>
  <si>
    <t>MEP Engineering</t>
  </si>
  <si>
    <t>On-Site Project Representation</t>
  </si>
  <si>
    <t>Commissioning</t>
  </si>
  <si>
    <t>Historic Preservation</t>
  </si>
  <si>
    <t>Other Services provided by Specialty Consultants</t>
  </si>
  <si>
    <t>Post Occupancy Evaluation</t>
  </si>
  <si>
    <t>Other Supplemental Services (Listed Below):</t>
  </si>
  <si>
    <t>Commencement of Construction Date:</t>
  </si>
  <si>
    <t>Substantial Completion Date:</t>
  </si>
  <si>
    <t>Stipulated Sum</t>
  </si>
  <si>
    <t>(Insert Amount)</t>
  </si>
  <si>
    <t>Percentage Basis</t>
  </si>
  <si>
    <t>(Insert % Amount)</t>
  </si>
  <si>
    <t>Other</t>
  </si>
  <si>
    <t>(Describe Method)</t>
  </si>
  <si>
    <t>% of the Owner's budget for the Cost of the Work, as</t>
  </si>
  <si>
    <t>calculated in accordance with Section 4.4</t>
  </si>
  <si>
    <t>(Basis of Compensation)</t>
  </si>
  <si>
    <t>(Amount of Compensation)</t>
  </si>
  <si>
    <t>UHG Design Experience Regional Representative:</t>
  </si>
  <si>
    <t>UHG Regional Project Management Representative:</t>
  </si>
  <si>
    <t>(Name, address, contact info.)</t>
  </si>
  <si>
    <t>Architects Project Representative:</t>
  </si>
  <si>
    <t>Architect Project Management Representative:</t>
  </si>
  <si>
    <t>Other Exhibits incorporated into this Agreement:</t>
  </si>
  <si>
    <t>Other Documents:</t>
  </si>
  <si>
    <t>ARTICLE 7 ATTACHMENTS AND EXHIBITS</t>
  </si>
  <si>
    <t>ARTICLE 6 PARTY REPRESENTATIVES</t>
  </si>
  <si>
    <t>ARTICLE 5 INSURANCE</t>
  </si>
  <si>
    <t>(per Exhibits E &amp; F of B121)</t>
  </si>
  <si>
    <t>ARTICLE 3 DATE OF COMMENCEMENT AND SUBSTANTIAL COMPLETION</t>
  </si>
  <si>
    <t>ARTICLE 1 INITIAL INFORMATION</t>
  </si>
  <si>
    <t>ARTICLE 2 SERVICES UNDER THIS SERVICE ORDER</t>
  </si>
  <si>
    <r>
      <t>1.0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</rPr>
      <t xml:space="preserve">SERVICE LEVEL AGREEMENT FRAMEWORK: </t>
    </r>
    <r>
      <rPr>
        <sz val="11"/>
        <color theme="1"/>
        <rFont val="Calibri"/>
        <family val="2"/>
      </rPr>
      <t>Timeframe expectations by Project Type (Business Days)</t>
    </r>
  </si>
  <si>
    <t>New Location / Relocation</t>
  </si>
  <si>
    <t>Remodel / Expansion</t>
  </si>
  <si>
    <t>Refresh / Infrastructure</t>
  </si>
  <si>
    <t>Project Kick-off</t>
  </si>
  <si>
    <t>Scope Review</t>
  </si>
  <si>
    <t>1–5</t>
  </si>
  <si>
    <t>5–10</t>
  </si>
  <si>
    <t>Utilization Analyses</t>
  </si>
  <si>
    <t>2–10</t>
  </si>
  <si>
    <t>2–5</t>
  </si>
  <si>
    <t>1–2</t>
  </si>
  <si>
    <t>Preliminary Floor Plan / Schematic Design Documents</t>
  </si>
  <si>
    <t>Design Development Phase</t>
  </si>
  <si>
    <t>10–15</t>
  </si>
  <si>
    <t>Construction Docs</t>
  </si>
  <si>
    <t>15–20</t>
  </si>
  <si>
    <t>Permitting / Bidding</t>
  </si>
  <si>
    <t>Some projects may warrant accelerated SLA timelines which will be mutually agreed to by Firm and Owner.</t>
  </si>
  <si>
    <t>category and the longer time frame applies to the higher end of the square footage category</t>
  </si>
  <si>
    <t>The range of business days assumes the lesser number of days applies to the lower end of the square footage</t>
  </si>
  <si>
    <t>Current Phase:</t>
  </si>
  <si>
    <t>Project Design Schedule</t>
  </si>
  <si>
    <t>Project Name:</t>
  </si>
  <si>
    <t>Certification Required:</t>
  </si>
  <si>
    <t>(per B121 Master Agreement)</t>
  </si>
  <si>
    <t>DESIGN MILESTONE DELIVERY DATE</t>
  </si>
  <si>
    <t>Preliminary Program</t>
  </si>
  <si>
    <t>Utilization Analysis</t>
  </si>
  <si>
    <t>Program Summary Document</t>
  </si>
  <si>
    <t>Approval Date:</t>
  </si>
  <si>
    <t>Preliminary Code Review</t>
  </si>
  <si>
    <t>Schematic Design Documents</t>
  </si>
  <si>
    <t>Peer Design Review 1</t>
  </si>
  <si>
    <t>Feasibility Scope Interview</t>
  </si>
  <si>
    <t>At Risk:</t>
  </si>
  <si>
    <t>Specifications</t>
  </si>
  <si>
    <t>Peer Design Review 2</t>
  </si>
  <si>
    <t>Life Safety Plan</t>
  </si>
  <si>
    <t>Final Code Review</t>
  </si>
  <si>
    <t>written agreement if necessary, as the project proceeds. This schedule shall include allowances for periods of time required for Owner's review,</t>
  </si>
  <si>
    <t>established by the Schedule approved by the Owner shall not, except for reasonable cause, be exceeded by the Architect or the Owner.</t>
  </si>
  <si>
    <t>the performance of the Owners consultants, and for approval of submissions by authorities having jurisdiction over the Project. Time limits</t>
  </si>
  <si>
    <t>As soon as practicable after the date of the Service Agreement, the Architect shall submit for the Owner’s approval a schedule for the performance</t>
  </si>
  <si>
    <t xml:space="preserve"> of the Architect’s services complying with the Owner’s preliminary schedule. The schedule initially shall include anticipated dates for the </t>
  </si>
  <si>
    <t>commencement of construction and for Substantial  Completion of the Work as set forth in the Initial Information. The schedule shall include</t>
  </si>
  <si>
    <t xml:space="preserve">allowances for periods of time required for the Owner’s review, for the performance of the Owner’s consultants, and for approval of submissions by </t>
  </si>
  <si>
    <t xml:space="preserve">authorities having jurisdiction over the Project. Once approved by the Owner, time limits established by the schedule shall not, except for reasonable </t>
  </si>
  <si>
    <t xml:space="preserve"> until the commencement of construction.</t>
  </si>
  <si>
    <t>cause, be exceeded  by the Architect or Owner. With the Owner’s approval, the Architect shall adjust the schedule, if necessary, as the Project proceeds</t>
  </si>
  <si>
    <t>Management of the project schedule, including the internal approval process, is the responsibility of the Owner’s Project Manager, with Architect</t>
  </si>
  <si>
    <t>having responsibility for design delivery components of the overall schedule. The timeframe expectations are intended to be adequate and appropriate</t>
  </si>
  <si>
    <t>for Architect to deliver its services to an acceptable level by the owner to move forward. Incomplete data, untimely additions, or untimely approvals</t>
  </si>
  <si>
    <t>to the Architect.</t>
  </si>
  <si>
    <t>may result in extensions of the project schedule. However, incomplete drawings, missed design intent or functionality will not warrant additional time</t>
  </si>
  <si>
    <t>From SOW General Services:</t>
  </si>
  <si>
    <t>From SOW Basic Services:</t>
  </si>
  <si>
    <t>Grace Healthcare Studios USA, LLC</t>
  </si>
  <si>
    <t>Need to Verify which states require which corporation name (per Legal)</t>
  </si>
  <si>
    <t>Line 1 of B121 - 2018</t>
  </si>
  <si>
    <t>Article 1.1 B121 - 2018</t>
  </si>
  <si>
    <t>Consolidation</t>
  </si>
  <si>
    <t>Expansion</t>
  </si>
  <si>
    <t>New Site</t>
  </si>
  <si>
    <t>One-off</t>
  </si>
  <si>
    <t>Refresh</t>
  </si>
  <si>
    <t>Remodel/Renovation</t>
  </si>
  <si>
    <t>Relocation</t>
  </si>
  <si>
    <t>Split-Relocation</t>
  </si>
  <si>
    <t>Phases</t>
  </si>
  <si>
    <t>Project Initiation</t>
  </si>
  <si>
    <t>Feasibility Stage</t>
  </si>
  <si>
    <t>Schematic Design</t>
  </si>
  <si>
    <t>Design Development</t>
  </si>
  <si>
    <t>Construction Documents</t>
  </si>
  <si>
    <t>Bidding/Permitting</t>
  </si>
  <si>
    <t>Project Close-out</t>
  </si>
  <si>
    <t>Post Occupancy</t>
  </si>
  <si>
    <t>Warranty Period</t>
  </si>
  <si>
    <t>Construction Administration</t>
  </si>
  <si>
    <t>(from Design Schedule)</t>
  </si>
  <si>
    <t>Completion %:</t>
  </si>
  <si>
    <t>Completion Date:</t>
  </si>
  <si>
    <t>(Consult w/Project Leader)</t>
  </si>
  <si>
    <t>UHG DE Regional Rep.:</t>
  </si>
  <si>
    <t>UHG Regional PM Rep.:</t>
  </si>
  <si>
    <t>(from Initial Information)</t>
  </si>
  <si>
    <t>Project Sustainability Objectives</t>
  </si>
  <si>
    <t>Electrical:</t>
  </si>
  <si>
    <t>Structural:</t>
  </si>
  <si>
    <t>Mechanical:</t>
  </si>
  <si>
    <t>Design Consultants (Basic Services)</t>
  </si>
  <si>
    <t>Supplemental Consulting Services (if Required)</t>
  </si>
  <si>
    <t>Project Schedule Information (Initial)</t>
  </si>
  <si>
    <t>Furniture</t>
  </si>
  <si>
    <t>Flooring</t>
  </si>
  <si>
    <t>Sound Masking</t>
  </si>
  <si>
    <t>Artwork/Branding</t>
  </si>
  <si>
    <t>Security (Owner internal and Business teams)</t>
  </si>
  <si>
    <t>Audio Visual</t>
  </si>
  <si>
    <t>Signage</t>
  </si>
  <si>
    <t>Medical Equipment</t>
  </si>
  <si>
    <t>IT/Technology/Low Voltage (Owner internal and Business teams)</t>
  </si>
  <si>
    <t>Storefront Systems</t>
  </si>
  <si>
    <t>Food Service</t>
  </si>
  <si>
    <t>Owner's Consultants and Contractors</t>
  </si>
  <si>
    <t>Architect's Supplemental Services</t>
  </si>
  <si>
    <t>Project/S.O. Number:</t>
  </si>
  <si>
    <t>PROJECT PHASE</t>
  </si>
  <si>
    <t>Feasibility Kick-off</t>
  </si>
  <si>
    <t>Service Order Submittal Date</t>
  </si>
  <si>
    <t>Site Due Diligence Report</t>
  </si>
  <si>
    <t>Field Measurement</t>
  </si>
  <si>
    <t>Preliminary Floor Plan</t>
  </si>
  <si>
    <t>SD Phase Submittal Date</t>
  </si>
  <si>
    <t>Feasibility Phase Submittal Date</t>
  </si>
  <si>
    <t>The Design Milestone Dates are the dates by which the Architect shall be obligated to complete each phase of its design</t>
  </si>
  <si>
    <t>services for each building or other segment of the Project and are a component of the Design Schedule. The Architect</t>
  </si>
  <si>
    <t>acknowledges and agrees that performing its services in accordance with the Design Milestone Dates is important to the</t>
  </si>
  <si>
    <t>timing and success of the overall Project.</t>
  </si>
  <si>
    <t>DD Documents</t>
  </si>
  <si>
    <t>QA/QC Review 1</t>
  </si>
  <si>
    <t>DD Phase Submittal Date</t>
  </si>
  <si>
    <t>Owner's Consultant's Work</t>
  </si>
  <si>
    <t>(Incorporation)</t>
  </si>
  <si>
    <t>Preparation of Bidding Information (w/DE)</t>
  </si>
  <si>
    <t>Clash Detection</t>
  </si>
  <si>
    <t>QA/QC Review 2</t>
  </si>
  <si>
    <t>CD Phase Submittal Date</t>
  </si>
  <si>
    <t>and Millwork Elevations)</t>
  </si>
  <si>
    <t>(Architectural, Furniture &amp; Medical Equipment,</t>
  </si>
  <si>
    <t>design revisions)</t>
  </si>
  <si>
    <t>(Discuss Power &amp; Data Requirements and</t>
  </si>
  <si>
    <t>Owner Progress Review 1</t>
  </si>
  <si>
    <t>Owner Progress Review 2</t>
  </si>
  <si>
    <t>Owner Progress Review 3</t>
  </si>
  <si>
    <t>(Finalize Power &amp; Data Plans, Finishes, and</t>
  </si>
  <si>
    <t>MEP Narrative</t>
  </si>
  <si>
    <t>Bidding and Permitting Phase</t>
  </si>
  <si>
    <t>Project Tracking Report</t>
  </si>
  <si>
    <t>Design Schedule</t>
  </si>
  <si>
    <r>
      <rPr>
        <sz val="7"/>
        <rFont val="Times New Roman"/>
        <family val="1"/>
      </rPr>
      <t xml:space="preserve"> </t>
    </r>
    <r>
      <rPr>
        <b/>
        <sz val="11"/>
        <rFont val="Calibri"/>
        <family val="2"/>
      </rPr>
      <t>The total number of requests and projects handled.</t>
    </r>
  </si>
  <si>
    <t>The percentage of requests that met the expected response times.</t>
  </si>
  <si>
    <t>Project name</t>
  </si>
  <si>
    <t>Brief description</t>
  </si>
  <si>
    <t>Percentage of Existing Conditions/ walls (etc.) reused per project</t>
  </si>
  <si>
    <t>Scheduled Project phases</t>
  </si>
  <si>
    <t>Project Status</t>
  </si>
  <si>
    <t>Service Order requested, submittal dates and approval status</t>
  </si>
  <si>
    <t>Potential project risk and proposed mitigation strategies</t>
  </si>
  <si>
    <t>Project team leader and contact point</t>
  </si>
  <si>
    <t>Number of Staff and their percentage of time spent on Owner’s account</t>
  </si>
  <si>
    <t>Deficiency report</t>
  </si>
  <si>
    <t>Project was or was not delivered according to the agreed-upon schedule, and budget at the final funding milestone</t>
  </si>
  <si>
    <t>Cost Savings and applied strategies for cost savings</t>
  </si>
  <si>
    <t>Architectural and MEP coordination issues/ misses</t>
  </si>
  <si>
    <t>Number of Change Orders per project</t>
  </si>
  <si>
    <t>Number of RFIs per project- broken down by type (detailed Owner scope change, unforeseen conditions, Errors and Omissions)</t>
  </si>
  <si>
    <t>Feasibility Stage:</t>
  </si>
  <si>
    <t>Approval Deficiencies:</t>
  </si>
  <si>
    <t>Design Milestone Date:</t>
  </si>
  <si>
    <t>Submittal Date:</t>
  </si>
  <si>
    <t>Schematic Design Phase:</t>
  </si>
  <si>
    <t>No. of Staff</t>
  </si>
  <si>
    <t>% Time spent on account:</t>
  </si>
  <si>
    <t>Submittal Attempts:</t>
  </si>
  <si>
    <t>Design Development Phase:</t>
  </si>
  <si>
    <t>Project Initiation Phase:</t>
  </si>
  <si>
    <t>Construction Document Phase:</t>
  </si>
  <si>
    <t>Bidding and Permitting Phase:</t>
  </si>
  <si>
    <t>Number of RFI's</t>
  </si>
  <si>
    <t>Number of Addenda</t>
  </si>
  <si>
    <t>Permitting Duration</t>
  </si>
  <si>
    <t>Project delivered on budget:</t>
  </si>
  <si>
    <t>Coordination issues</t>
  </si>
  <si>
    <t>Construction Phase:</t>
  </si>
  <si>
    <t>Number of RFC's</t>
  </si>
  <si>
    <t>Number of Change Orders</t>
  </si>
  <si>
    <t>Potential Project Risk and proposed Mitigation Strategies</t>
  </si>
  <si>
    <t>Approved Revisions</t>
  </si>
  <si>
    <t>Final Design Fees:</t>
  </si>
  <si>
    <t>Current Project Status</t>
  </si>
  <si>
    <t>General Project Information</t>
  </si>
  <si>
    <t>(from Initial Information) Must be refined/discussed to create clear understanding in Project Initiation Phase</t>
  </si>
  <si>
    <t>Project S.F.:</t>
  </si>
  <si>
    <t>Conditions Reused:</t>
  </si>
  <si>
    <t>% of Existing</t>
  </si>
  <si>
    <t>(Requested Data)</t>
  </si>
  <si>
    <t>Scope Description</t>
  </si>
  <si>
    <t>Original COW:</t>
  </si>
  <si>
    <t>DD COW:</t>
  </si>
  <si>
    <t>CD COW:</t>
  </si>
  <si>
    <t>Final COW:</t>
  </si>
  <si>
    <t>Design Start Date:</t>
  </si>
  <si>
    <t>Construction Start Date:</t>
  </si>
  <si>
    <t>(Date of Purchase Order)</t>
  </si>
  <si>
    <t>Bid Amount:</t>
  </si>
  <si>
    <t>Design Completion Date:</t>
  </si>
  <si>
    <t>Budget (Cost of the Work)</t>
  </si>
  <si>
    <t>DURATION (Days)</t>
  </si>
  <si>
    <t>ACTUAL DELIVERY DATE</t>
  </si>
  <si>
    <t>Bid Time</t>
  </si>
  <si>
    <t>Permit Submittal</t>
  </si>
  <si>
    <t>Bid Date</t>
  </si>
  <si>
    <t>Contract Negotiations</t>
  </si>
  <si>
    <t>Construction Start Date</t>
  </si>
  <si>
    <t>Substantial Completion</t>
  </si>
  <si>
    <t>REVISION</t>
  </si>
  <si>
    <t>Project Types</t>
  </si>
  <si>
    <t>Contraction</t>
  </si>
  <si>
    <t>Sustainable Project Services pursuant to Section 3.1.3</t>
  </si>
  <si>
    <t>Responsibility</t>
  </si>
  <si>
    <t>Format should match or exceed level of detail in Exhibit J and include any Owner requested changes</t>
  </si>
  <si>
    <t>Owner's Consultants</t>
  </si>
  <si>
    <t>Project Managers</t>
  </si>
  <si>
    <t>Project Leaders</t>
  </si>
  <si>
    <t>Design Consultants</t>
  </si>
  <si>
    <t>Certification Req'd.:</t>
  </si>
  <si>
    <t>Contact:</t>
  </si>
  <si>
    <t>Service Order Approval Date</t>
  </si>
  <si>
    <t>Feasibility Phase Approval Date</t>
  </si>
  <si>
    <t>SD Phase Approval Date</t>
  </si>
  <si>
    <t>DD Phase Approval Date</t>
  </si>
  <si>
    <t>CD Phase Approval Date</t>
  </si>
  <si>
    <t>Actual Bid Date</t>
  </si>
  <si>
    <t>Actual Construction Start Date</t>
  </si>
  <si>
    <t>Actual Substantial Completion Date</t>
  </si>
  <si>
    <t>Final Payment</t>
  </si>
  <si>
    <t>Warranty Period Conference</t>
  </si>
  <si>
    <t>Project Completion Date</t>
  </si>
  <si>
    <t>(if applicable)</t>
  </si>
  <si>
    <t>4.3 Reimbursable Expenses:</t>
  </si>
  <si>
    <t>4.2 For Additional Services:</t>
  </si>
  <si>
    <t>ARTICLE 4.1 COMPENSATION</t>
  </si>
  <si>
    <t>One for Mississippi!</t>
  </si>
  <si>
    <t>Project Tracking per Phase</t>
  </si>
  <si>
    <t>Original Design Fees (Including Consultants, Additional Services &amp; Reimbursables):</t>
  </si>
  <si>
    <t>(Manual Entry)</t>
  </si>
  <si>
    <t>(Phase Close-out Data)</t>
  </si>
  <si>
    <t>50 % CD Package Review Meeting (ground up Projects only)</t>
  </si>
  <si>
    <t>90% CD Package Review Meeting (as determined by Owner)</t>
  </si>
  <si>
    <t>Final Pick-ups</t>
  </si>
  <si>
    <t>Preliminary Floor Plan Approval</t>
  </si>
  <si>
    <t>Proposed Compensation</t>
  </si>
  <si>
    <t>Architectural Site Plan</t>
  </si>
  <si>
    <t>Preliminary Site Plan</t>
  </si>
  <si>
    <t>Compensation</t>
  </si>
  <si>
    <t>Sean Johnson, AIA</t>
  </si>
  <si>
    <t>Andrea Bowman, AIA</t>
  </si>
  <si>
    <t>(Schedule E)</t>
  </si>
  <si>
    <r>
      <t>Infrastructur</t>
    </r>
    <r>
      <rPr>
        <sz val="11"/>
        <rFont val="Aptos Narrow"/>
        <family val="2"/>
        <scheme val="minor"/>
      </rPr>
      <t>e/</t>
    </r>
    <r>
      <rPr>
        <sz val="11"/>
        <color rgb="FFFF0000"/>
        <rFont val="Aptos Narrow"/>
        <family val="2"/>
        <scheme val="minor"/>
      </rPr>
      <t>MDF</t>
    </r>
  </si>
  <si>
    <t>Special Types</t>
  </si>
  <si>
    <t>(Schedule F)</t>
  </si>
  <si>
    <t>Ground Up</t>
  </si>
  <si>
    <t>Tenant Build-out</t>
  </si>
  <si>
    <t>Justin Aubert, AIA</t>
  </si>
  <si>
    <t>Stipulated Fee</t>
  </si>
  <si>
    <t>Negotiated Fee</t>
  </si>
  <si>
    <t>Special Type:</t>
  </si>
  <si>
    <t>(None)</t>
  </si>
  <si>
    <t>Compensation:</t>
  </si>
  <si>
    <t>If &lt; 10,000S.F.</t>
  </si>
  <si>
    <t>If  &lt; 10,000S.F.</t>
  </si>
  <si>
    <t>Category</t>
  </si>
  <si>
    <t>Issue(s):</t>
  </si>
  <si>
    <t>Existing (S.F.):</t>
  </si>
  <si>
    <t>New (S.F.):</t>
  </si>
  <si>
    <t>FS -Kick-off</t>
  </si>
  <si>
    <t>FS_Scope Interview</t>
  </si>
  <si>
    <t>FS-Preliminary Program</t>
  </si>
  <si>
    <t>FS-Scenario Development</t>
  </si>
  <si>
    <t>FS-Utilization Analysis</t>
  </si>
  <si>
    <t>(TBD)</t>
  </si>
  <si>
    <t>(Must be Requested)</t>
  </si>
  <si>
    <t>(Select)</t>
  </si>
  <si>
    <r>
      <t>4.2.1</t>
    </r>
    <r>
      <rPr>
        <b/>
        <sz val="7"/>
        <rFont val="Times New Roman"/>
        <family val="1"/>
      </rPr>
      <t xml:space="preserve">  </t>
    </r>
    <r>
      <rPr>
        <sz val="11"/>
        <rFont val="Calibri"/>
        <family val="2"/>
      </rPr>
      <t xml:space="preserve">The Architect shall submit for the Owner's approval a schedule for the performance of the Architect's services, </t>
    </r>
    <r>
      <rPr>
        <b/>
        <sz val="11"/>
        <rFont val="Calibri"/>
        <family val="2"/>
      </rPr>
      <t>and the services of Owner</t>
    </r>
  </si>
  <si>
    <r>
      <rPr>
        <b/>
        <sz val="11"/>
        <rFont val="Calibri"/>
        <family val="2"/>
      </rPr>
      <t>provided consultants</t>
    </r>
    <r>
      <rPr>
        <sz val="11"/>
        <rFont val="Calibri"/>
        <family val="2"/>
      </rPr>
      <t>, which initially shall be consistent with the time periods established in SLA Exhibit and which shall be adjusted by mutual</t>
    </r>
  </si>
  <si>
    <t>Feasibility Stage Services</t>
  </si>
  <si>
    <t>Document Verification</t>
  </si>
  <si>
    <t>Service Order Submittal DAte</t>
  </si>
  <si>
    <t>Design Documentation</t>
  </si>
  <si>
    <t>Architectural/Preliminary Plan Submittal Date</t>
  </si>
  <si>
    <t>Architectural/Preliminary Plan Approval Date</t>
  </si>
  <si>
    <t>Project Description:</t>
  </si>
  <si>
    <t>(MEP&amp;Structural)</t>
  </si>
  <si>
    <t>(NONE) or List</t>
  </si>
  <si>
    <t>3D scanning services/digital imaging and associated travel/management</t>
  </si>
  <si>
    <t>Supplemental Service Consultants</t>
  </si>
  <si>
    <t>Consultant</t>
  </si>
  <si>
    <t>(Architect)</t>
  </si>
  <si>
    <t>Architect</t>
  </si>
  <si>
    <t>Not Provided</t>
  </si>
  <si>
    <t>Owner</t>
  </si>
  <si>
    <t>List Other Service(s)</t>
  </si>
  <si>
    <t>The Architect shall provide Construction Administration Services exceeding the limits set forth in Exhibit "A" Scope of</t>
  </si>
  <si>
    <t>Work as Additional Services:</t>
  </si>
  <si>
    <t>(Not sure what to put here)</t>
  </si>
  <si>
    <t>Compensation (From Exhibits E or F)</t>
  </si>
  <si>
    <t>(Insert %)</t>
  </si>
  <si>
    <t>See Attachment "X": Project Scope Document</t>
  </si>
  <si>
    <t>See Attachment "X": Project Design Schedule</t>
  </si>
  <si>
    <t>Needs Editing - Percentages do not equal 100%</t>
  </si>
  <si>
    <t>Attachment "X" - Project Scope Document</t>
  </si>
  <si>
    <t>Attachment "X" - Project Design Schedule</t>
  </si>
  <si>
    <t>Attachment "X" - Additional Services and/or Reimbursable Expenses</t>
  </si>
  <si>
    <t>See Attachment "X" Additional Services and/or Reimbursable Expenses</t>
  </si>
  <si>
    <t>Site Visit?</t>
  </si>
  <si>
    <t>Supplemental and/or Additional Services</t>
  </si>
  <si>
    <t>Scope Review/Clarification</t>
  </si>
  <si>
    <t>Budget Review/Clarification</t>
  </si>
  <si>
    <t>Site Planning Services</t>
  </si>
  <si>
    <t>Design Exceptions</t>
  </si>
  <si>
    <t>Owner Consultant Coordination</t>
  </si>
  <si>
    <t>Design Exceptions (noted or Approved)</t>
  </si>
  <si>
    <t>up Projects Only)</t>
  </si>
  <si>
    <t>Final Cost of Work Adjustments</t>
  </si>
  <si>
    <t>Deficiency Report</t>
  </si>
  <si>
    <t>(Per Phase)</t>
  </si>
  <si>
    <t>(Manual Entry from DR)</t>
  </si>
  <si>
    <t>Review/Response Letters</t>
  </si>
  <si>
    <t>(Assuming we will have a log somewhere)</t>
  </si>
  <si>
    <t>Permit Review/Response</t>
  </si>
  <si>
    <t>Permit Received</t>
  </si>
  <si>
    <t>(Manual Entry calculated from Approved Service Order)</t>
  </si>
  <si>
    <t>(Document Revisions)</t>
  </si>
  <si>
    <t>Percentage Fee</t>
  </si>
  <si>
    <t>Project Compensation Data</t>
  </si>
  <si>
    <t>Fee for Basic Servces (Architectural and Interior Design)</t>
  </si>
  <si>
    <t>xx,xxx</t>
  </si>
  <si>
    <t>SD Thru DD</t>
  </si>
  <si>
    <t>CD Thru Closeout</t>
  </si>
  <si>
    <t>%</t>
  </si>
  <si>
    <t>(Enter Percentage)</t>
  </si>
  <si>
    <t>Enter</t>
  </si>
  <si>
    <t>Amount</t>
  </si>
  <si>
    <t>Enter Amount</t>
  </si>
  <si>
    <t>(Enter Amount)</t>
  </si>
  <si>
    <t>N.T.E.</t>
  </si>
  <si>
    <t>(Enter Amount) N.T.E.</t>
  </si>
  <si>
    <t>Mechanical</t>
  </si>
  <si>
    <t>Electrical</t>
  </si>
  <si>
    <t>Structural</t>
  </si>
  <si>
    <t>Design Consultants Compensation</t>
  </si>
  <si>
    <t>Basis for Compensation</t>
  </si>
  <si>
    <t>or</t>
  </si>
  <si>
    <r>
      <t xml:space="preserve">Civil </t>
    </r>
    <r>
      <rPr>
        <sz val="11"/>
        <rFont val="Aptos Narrow"/>
        <family val="2"/>
        <scheme val="minor"/>
      </rPr>
      <t>(if Required)</t>
    </r>
  </si>
  <si>
    <r>
      <t>Basic Service Exception</t>
    </r>
    <r>
      <rPr>
        <sz val="14"/>
        <color theme="1"/>
        <rFont val="Aptos Narrow"/>
        <family val="2"/>
        <scheme val="minor"/>
      </rPr>
      <t xml:space="preserve"> (if any)</t>
    </r>
  </si>
  <si>
    <r>
      <t>Additional Services</t>
    </r>
    <r>
      <rPr>
        <sz val="14"/>
        <color theme="1"/>
        <rFont val="Aptos Narrow"/>
        <family val="2"/>
        <scheme val="minor"/>
      </rPr>
      <t xml:space="preserve"> (if any)</t>
    </r>
  </si>
  <si>
    <t>Reimbursable Expenses (Travel, Permit Fees and/or Field Office)</t>
  </si>
  <si>
    <t>Use Date of Project Engagement Meeting</t>
  </si>
  <si>
    <t>Provided by CBRE PM</t>
  </si>
  <si>
    <t>Muncie Family Physicians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</si>
</sst>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7"/>
      <color theme="1"/>
      <name val="Times New Roman"/>
      <family val="1"/>
    </font>
    <font>
      <i/>
      <sz val="11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Symbol"/>
      <family val="1"/>
      <charset val="2"/>
    </font>
    <font>
      <sz val="7"/>
      <name val="Times New Roman"/>
      <family val="1"/>
    </font>
    <font>
      <b/>
      <sz val="7"/>
      <name val="Times New Roman"/>
      <family val="1"/>
    </font>
    <font>
      <sz val="10"/>
      <name val="Calibri"/>
      <family val="2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9F9F9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thick">
        <color rgb="FFF9F9F9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E6E6E6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center" wrapText="1" indent="2"/>
    </xf>
    <xf numFmtId="0" fontId="13" fillId="4" borderId="7" xfId="0" applyFont="1" applyFill="1" applyBorder="1" applyAlignment="1">
      <alignment horizontal="left" vertical="center" wrapText="1" indent="1"/>
    </xf>
    <xf numFmtId="0" fontId="13" fillId="4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0" fillId="0" borderId="13" xfId="0" applyBorder="1"/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4" fillId="5" borderId="0" xfId="0" applyFont="1" applyFill="1" applyAlignment="1">
      <alignment horizontal="left" vertical="center"/>
    </xf>
    <xf numFmtId="0" fontId="10" fillId="5" borderId="0" xfId="0" applyFont="1" applyFill="1"/>
    <xf numFmtId="0" fontId="14" fillId="5" borderId="0" xfId="0" applyFont="1" applyFill="1"/>
    <xf numFmtId="0" fontId="0" fillId="6" borderId="0" xfId="0" applyFill="1"/>
    <xf numFmtId="0" fontId="17" fillId="0" borderId="0" xfId="0" applyFont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18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0" fillId="0" borderId="14" xfId="0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2" borderId="17" xfId="0" applyFill="1" applyBorder="1"/>
    <xf numFmtId="0" fontId="3" fillId="2" borderId="18" xfId="0" applyFont="1" applyFill="1" applyBorder="1"/>
    <xf numFmtId="0" fontId="0" fillId="2" borderId="18" xfId="0" applyFill="1" applyBorder="1"/>
    <xf numFmtId="0" fontId="2" fillId="0" borderId="1" xfId="0" applyFont="1" applyBorder="1"/>
    <xf numFmtId="0" fontId="0" fillId="0" borderId="19" xfId="0" applyBorder="1"/>
    <xf numFmtId="0" fontId="0" fillId="6" borderId="19" xfId="0" applyFill="1" applyBorder="1"/>
    <xf numFmtId="0" fontId="0" fillId="0" borderId="20" xfId="0" applyBorder="1"/>
    <xf numFmtId="0" fontId="0" fillId="6" borderId="1" xfId="0" applyFill="1" applyBorder="1"/>
    <xf numFmtId="0" fontId="0" fillId="0" borderId="16" xfId="0" applyBorder="1"/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23" xfId="0" applyBorder="1"/>
    <xf numFmtId="0" fontId="0" fillId="0" borderId="24" xfId="0" applyBorder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0" fillId="6" borderId="2" xfId="0" applyFill="1" applyBorder="1"/>
    <xf numFmtId="0" fontId="0" fillId="6" borderId="13" xfId="0" applyFill="1" applyBorder="1"/>
    <xf numFmtId="0" fontId="0" fillId="6" borderId="3" xfId="0" applyFill="1" applyBorder="1"/>
    <xf numFmtId="0" fontId="8" fillId="0" borderId="0" xfId="0" applyFont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2" fillId="0" borderId="1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9" xfId="0" applyFont="1" applyBorder="1"/>
    <xf numFmtId="0" fontId="7" fillId="0" borderId="1" xfId="0" applyFont="1" applyBorder="1"/>
    <xf numFmtId="0" fontId="1" fillId="0" borderId="2" xfId="0" applyFont="1" applyBorder="1"/>
    <xf numFmtId="0" fontId="0" fillId="6" borderId="18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0" borderId="15" xfId="0" applyBorder="1"/>
    <xf numFmtId="0" fontId="2" fillId="0" borderId="16" xfId="0" applyFont="1" applyBorder="1"/>
    <xf numFmtId="0" fontId="2" fillId="6" borderId="16" xfId="0" applyFont="1" applyFill="1" applyBorder="1"/>
    <xf numFmtId="0" fontId="0" fillId="0" borderId="25" xfId="0" applyBorder="1"/>
    <xf numFmtId="0" fontId="2" fillId="0" borderId="2" xfId="0" applyFont="1" applyBorder="1"/>
    <xf numFmtId="0" fontId="2" fillId="0" borderId="3" xfId="0" applyFont="1" applyBorder="1"/>
    <xf numFmtId="0" fontId="0" fillId="6" borderId="23" xfId="0" applyFill="1" applyBorder="1"/>
    <xf numFmtId="0" fontId="0" fillId="6" borderId="14" xfId="0" applyFill="1" applyBorder="1"/>
    <xf numFmtId="0" fontId="2" fillId="0" borderId="23" xfId="0" applyFont="1" applyBorder="1"/>
    <xf numFmtId="0" fontId="2" fillId="0" borderId="14" xfId="0" applyFont="1" applyBorder="1"/>
    <xf numFmtId="0" fontId="4" fillId="0" borderId="17" xfId="0" applyFont="1" applyBorder="1"/>
    <xf numFmtId="0" fontId="1" fillId="0" borderId="14" xfId="0" applyFont="1" applyBorder="1"/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0" fillId="6" borderId="24" xfId="0" applyFill="1" applyBorder="1"/>
    <xf numFmtId="0" fontId="1" fillId="0" borderId="3" xfId="0" applyFont="1" applyBorder="1"/>
    <xf numFmtId="0" fontId="2" fillId="6" borderId="1" xfId="0" applyFont="1" applyFill="1" applyBorder="1"/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6" xfId="0" applyBorder="1"/>
    <xf numFmtId="0" fontId="0" fillId="0" borderId="2" xfId="0" applyBorder="1" applyAlignment="1">
      <alignment horizontal="right"/>
    </xf>
    <xf numFmtId="0" fontId="16" fillId="0" borderId="3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8" fillId="0" borderId="1" xfId="0" applyFont="1" applyBorder="1"/>
    <xf numFmtId="0" fontId="14" fillId="0" borderId="14" xfId="0" applyFont="1" applyBorder="1" applyAlignment="1">
      <alignment vertical="center"/>
    </xf>
    <xf numFmtId="0" fontId="7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9" xfId="0" applyBorder="1" applyAlignment="1">
      <alignment horizontal="left"/>
    </xf>
    <xf numFmtId="0" fontId="1" fillId="0" borderId="19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" xfId="0" applyFont="1" applyBorder="1"/>
    <xf numFmtId="0" fontId="4" fillId="0" borderId="19" xfId="0" applyFont="1" applyBorder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2" borderId="0" xfId="0" applyFont="1" applyFill="1"/>
    <xf numFmtId="0" fontId="0" fillId="2" borderId="0" xfId="0" applyFill="1"/>
    <xf numFmtId="0" fontId="17" fillId="0" borderId="0" xfId="0" applyFont="1"/>
    <xf numFmtId="0" fontId="7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/>
    </xf>
    <xf numFmtId="0" fontId="1" fillId="0" borderId="23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4" xfId="0" applyFont="1" applyBorder="1"/>
    <xf numFmtId="0" fontId="1" fillId="0" borderId="13" xfId="0" applyFont="1" applyBorder="1"/>
    <xf numFmtId="0" fontId="4" fillId="0" borderId="16" xfId="0" applyFont="1" applyBorder="1"/>
    <xf numFmtId="0" fontId="4" fillId="6" borderId="16" xfId="0" applyFont="1" applyFill="1" applyBorder="1"/>
    <xf numFmtId="0" fontId="2" fillId="0" borderId="28" xfId="0" applyFont="1" applyBorder="1" applyAlignment="1">
      <alignment horizontal="center" vertical="center"/>
    </xf>
    <xf numFmtId="14" fontId="0" fillId="0" borderId="19" xfId="0" applyNumberFormat="1" applyBorder="1" applyAlignment="1">
      <alignment horizontal="left"/>
    </xf>
    <xf numFmtId="0" fontId="4" fillId="0" borderId="2" xfId="0" applyFont="1" applyBorder="1"/>
    <xf numFmtId="0" fontId="4" fillId="0" borderId="13" xfId="0" applyFont="1" applyBorder="1"/>
    <xf numFmtId="0" fontId="21" fillId="0" borderId="1" xfId="0" applyFont="1" applyBorder="1" applyAlignment="1">
      <alignment horizontal="left" vertical="center"/>
    </xf>
    <xf numFmtId="0" fontId="1" fillId="0" borderId="18" xfId="0" applyFont="1" applyBorder="1"/>
    <xf numFmtId="0" fontId="4" fillId="6" borderId="0" xfId="0" applyFont="1" applyFill="1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5" fontId="4" fillId="5" borderId="0" xfId="0" applyNumberFormat="1" applyFont="1" applyFill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0" fontId="0" fillId="8" borderId="15" xfId="0" applyFill="1" applyBorder="1"/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/>
    <xf numFmtId="0" fontId="1" fillId="0" borderId="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24" xfId="0" applyFont="1" applyBorder="1" applyAlignment="1">
      <alignment vertical="top"/>
    </xf>
    <xf numFmtId="0" fontId="8" fillId="0" borderId="23" xfId="0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6" borderId="14" xfId="0" applyFont="1" applyFill="1" applyBorder="1" applyAlignment="1">
      <alignment horizontal="left" wrapText="1"/>
    </xf>
    <xf numFmtId="0" fontId="2" fillId="6" borderId="24" xfId="0" applyFont="1" applyFill="1" applyBorder="1" applyAlignment="1">
      <alignment horizontal="left" wrapText="1"/>
    </xf>
    <xf numFmtId="0" fontId="2" fillId="6" borderId="3" xfId="0" applyFont="1" applyFill="1" applyBorder="1" applyAlignment="1">
      <alignment horizontal="left" wrapText="1"/>
    </xf>
    <xf numFmtId="0" fontId="2" fillId="6" borderId="13" xfId="0" applyFont="1" applyFill="1" applyBorder="1" applyAlignment="1">
      <alignment horizontal="left" wrapText="1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7" fillId="0" borderId="27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23" xfId="0" applyFont="1" applyBorder="1" applyAlignment="1">
      <alignment horizontal="center" vertical="top"/>
    </xf>
    <xf numFmtId="0" fontId="3" fillId="9" borderId="9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14" fontId="1" fillId="0" borderId="19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6F4-CD2B-40CC-ADD9-0AB2FDE335B4}">
  <dimension ref="A1:U50"/>
  <sheetViews>
    <sheetView tabSelected="1" view="pageBreakPreview" zoomScale="75" zoomScaleNormal="100" zoomScaleSheetLayoutView="75" zoomScalePageLayoutView="50" workbookViewId="0">
      <selection activeCell="C3" sqref="C3"/>
    </sheetView>
  </sheetViews>
  <sheetFormatPr defaultRowHeight="14.5" x14ac:dyDescent="0.35"/>
  <cols>
    <col min="1" max="1" width="3.6328125" customWidth="1"/>
    <col min="2" max="2" width="12.6328125" customWidth="1"/>
    <col min="3" max="3" width="24.7265625" customWidth="1"/>
    <col min="8" max="8" width="26.81640625" customWidth="1"/>
    <col min="9" max="9" width="10.6328125" customWidth="1"/>
    <col min="10" max="10" width="3.6328125" customWidth="1"/>
    <col min="11" max="11" width="15.6328125" customWidth="1"/>
    <col min="15" max="15" width="12.6328125" customWidth="1"/>
    <col min="16" max="16" width="23.6328125" customWidth="1"/>
    <col min="17" max="17" width="12.6328125" customWidth="1"/>
    <col min="18" max="18" width="15.6328125" customWidth="1"/>
    <col min="19" max="20" width="20.6328125" customWidth="1"/>
    <col min="21" max="22" width="3.6328125" customWidth="1"/>
    <col min="26" max="28" width="15.6328125" customWidth="1"/>
  </cols>
  <sheetData>
    <row r="1" spans="1:20" ht="19" thickBot="1" x14ac:dyDescent="0.5">
      <c r="A1" s="173" t="s">
        <v>269</v>
      </c>
      <c r="B1" s="174"/>
      <c r="C1" s="174"/>
      <c r="D1" s="174"/>
      <c r="E1" s="174"/>
      <c r="F1" s="174"/>
      <c r="G1" s="174"/>
      <c r="H1" s="175"/>
      <c r="I1" s="121"/>
      <c r="J1" s="1" t="s">
        <v>301</v>
      </c>
      <c r="L1" s="1" t="s">
        <v>302</v>
      </c>
      <c r="N1" s="1" t="s">
        <v>295</v>
      </c>
      <c r="P1" s="1" t="s">
        <v>338</v>
      </c>
      <c r="Q1" s="1" t="s">
        <v>333</v>
      </c>
      <c r="R1" s="1" t="s">
        <v>350</v>
      </c>
      <c r="T1" s="1"/>
    </row>
    <row r="2" spans="1:20" ht="14.5" customHeight="1" x14ac:dyDescent="0.45">
      <c r="A2" s="69" t="s">
        <v>110</v>
      </c>
      <c r="C2" s="112" t="s">
        <v>438</v>
      </c>
      <c r="D2" s="2"/>
      <c r="E2" s="2"/>
      <c r="G2" s="62" t="s">
        <v>4</v>
      </c>
      <c r="H2" s="243">
        <v>46209</v>
      </c>
      <c r="I2" s="112"/>
      <c r="J2" t="s">
        <v>361</v>
      </c>
      <c r="L2" t="s">
        <v>361</v>
      </c>
      <c r="N2" t="s">
        <v>361</v>
      </c>
      <c r="P2" t="s">
        <v>361</v>
      </c>
      <c r="Q2" t="s">
        <v>361</v>
      </c>
    </row>
    <row r="3" spans="1:20" ht="14.5" customHeight="1" x14ac:dyDescent="0.35">
      <c r="A3" s="69" t="s">
        <v>6</v>
      </c>
      <c r="C3" s="112" t="s">
        <v>173</v>
      </c>
      <c r="G3" s="57" t="s">
        <v>5</v>
      </c>
      <c r="H3" s="118" t="s">
        <v>360</v>
      </c>
      <c r="I3" s="112"/>
      <c r="J3" t="s">
        <v>335</v>
      </c>
      <c r="L3" t="s">
        <v>342</v>
      </c>
      <c r="N3" t="s">
        <v>148</v>
      </c>
      <c r="P3" t="s">
        <v>346</v>
      </c>
      <c r="Q3" t="s">
        <v>336</v>
      </c>
      <c r="R3" t="s">
        <v>348</v>
      </c>
    </row>
    <row r="4" spans="1:20" ht="14.5" customHeight="1" x14ac:dyDescent="0.35">
      <c r="A4" s="12"/>
      <c r="C4" s="112" t="s">
        <v>173</v>
      </c>
      <c r="H4" s="71"/>
      <c r="I4" s="25"/>
      <c r="J4" s="6" t="s">
        <v>334</v>
      </c>
      <c r="N4" t="s">
        <v>296</v>
      </c>
      <c r="P4" t="s">
        <v>158</v>
      </c>
      <c r="Q4" t="s">
        <v>339</v>
      </c>
      <c r="R4" t="s">
        <v>349</v>
      </c>
    </row>
    <row r="5" spans="1:20" ht="14.5" customHeight="1" x14ac:dyDescent="0.45">
      <c r="A5" s="69" t="s">
        <v>7</v>
      </c>
      <c r="C5" s="122" t="s">
        <v>361</v>
      </c>
      <c r="D5" s="2"/>
      <c r="E5" s="2"/>
      <c r="F5" s="2"/>
      <c r="G5" s="57" t="s">
        <v>8</v>
      </c>
      <c r="H5" s="117" t="s">
        <v>361</v>
      </c>
      <c r="I5" s="122"/>
      <c r="N5" t="s">
        <v>149</v>
      </c>
      <c r="P5" t="s">
        <v>331</v>
      </c>
      <c r="Q5" t="s">
        <v>412</v>
      </c>
    </row>
    <row r="6" spans="1:20" ht="14.5" customHeight="1" x14ac:dyDescent="0.45">
      <c r="A6" s="69" t="s">
        <v>10</v>
      </c>
      <c r="C6" s="122" t="s">
        <v>361</v>
      </c>
      <c r="D6" s="2"/>
      <c r="E6" s="2"/>
      <c r="G6" s="57" t="s">
        <v>9</v>
      </c>
      <c r="H6" s="117" t="s">
        <v>361</v>
      </c>
      <c r="I6" s="122"/>
      <c r="N6" s="6" t="s">
        <v>150</v>
      </c>
      <c r="P6" t="s">
        <v>332</v>
      </c>
      <c r="Q6" t="s">
        <v>343</v>
      </c>
    </row>
    <row r="7" spans="1:20" x14ac:dyDescent="0.35">
      <c r="A7" s="72" t="s">
        <v>345</v>
      </c>
      <c r="C7" s="122" t="s">
        <v>361</v>
      </c>
      <c r="D7" s="9"/>
      <c r="E7" s="9"/>
      <c r="G7" s="57" t="s">
        <v>171</v>
      </c>
      <c r="H7" s="118" t="s">
        <v>173</v>
      </c>
      <c r="I7" s="112"/>
      <c r="N7" s="111" t="s">
        <v>340</v>
      </c>
      <c r="P7" t="s">
        <v>151</v>
      </c>
      <c r="Q7" t="s">
        <v>344</v>
      </c>
      <c r="S7" s="1"/>
    </row>
    <row r="8" spans="1:20" x14ac:dyDescent="0.35">
      <c r="A8" s="45" t="s">
        <v>347</v>
      </c>
      <c r="C8" s="3" t="s">
        <v>361</v>
      </c>
      <c r="D8" s="4"/>
      <c r="G8" s="57" t="s">
        <v>172</v>
      </c>
      <c r="H8" s="118" t="s">
        <v>173</v>
      </c>
      <c r="I8" s="112"/>
      <c r="N8" s="111" t="s">
        <v>341</v>
      </c>
      <c r="P8" t="s">
        <v>337</v>
      </c>
    </row>
    <row r="9" spans="1:20" ht="18.5" x14ac:dyDescent="0.45">
      <c r="A9" s="176" t="s">
        <v>268</v>
      </c>
      <c r="B9" s="177"/>
      <c r="C9" s="177"/>
      <c r="D9" s="177"/>
      <c r="E9" s="177"/>
      <c r="F9" s="177"/>
      <c r="G9" s="177"/>
      <c r="H9" s="178"/>
      <c r="I9" s="121"/>
      <c r="N9" t="s">
        <v>153</v>
      </c>
      <c r="P9" t="s">
        <v>152</v>
      </c>
    </row>
    <row r="10" spans="1:20" x14ac:dyDescent="0.35">
      <c r="A10" s="69" t="s">
        <v>108</v>
      </c>
      <c r="C10" s="122" t="s">
        <v>361</v>
      </c>
      <c r="E10" s="1" t="s">
        <v>351</v>
      </c>
      <c r="F10" s="3" t="str">
        <f>'Project Tracking Report'!F10</f>
        <v>Deficiency Report</v>
      </c>
      <c r="H10" s="46"/>
      <c r="N10" t="s">
        <v>154</v>
      </c>
    </row>
    <row r="11" spans="1:20" x14ac:dyDescent="0.35">
      <c r="A11" s="69" t="s">
        <v>168</v>
      </c>
      <c r="C11" s="112" t="s">
        <v>170</v>
      </c>
      <c r="H11" s="46"/>
      <c r="N11" t="s">
        <v>155</v>
      </c>
    </row>
    <row r="12" spans="1:20" x14ac:dyDescent="0.35">
      <c r="A12" s="69" t="s">
        <v>169</v>
      </c>
      <c r="C12" s="122" t="s">
        <v>167</v>
      </c>
      <c r="H12" s="46"/>
    </row>
    <row r="13" spans="1:20" x14ac:dyDescent="0.35">
      <c r="A13" s="69" t="s">
        <v>122</v>
      </c>
      <c r="C13" s="122" t="s">
        <v>361</v>
      </c>
      <c r="H13" s="46"/>
    </row>
    <row r="14" spans="1:20" x14ac:dyDescent="0.35">
      <c r="A14" s="12"/>
      <c r="H14" s="46"/>
    </row>
    <row r="15" spans="1:20" ht="18.5" x14ac:dyDescent="0.45">
      <c r="A15" s="176" t="s">
        <v>275</v>
      </c>
      <c r="B15" s="177"/>
      <c r="C15" s="177"/>
      <c r="D15" s="177"/>
      <c r="E15" s="177"/>
      <c r="F15" s="177"/>
      <c r="G15" s="177"/>
      <c r="H15" s="178"/>
      <c r="I15" s="121"/>
      <c r="J15" s="1" t="s">
        <v>156</v>
      </c>
      <c r="M15" s="1" t="s">
        <v>303</v>
      </c>
      <c r="P15" s="1" t="s">
        <v>193</v>
      </c>
    </row>
    <row r="16" spans="1:20" ht="14.5" customHeight="1" x14ac:dyDescent="0.35">
      <c r="A16" s="133" t="s">
        <v>270</v>
      </c>
      <c r="B16" s="128"/>
      <c r="C16" s="128"/>
      <c r="D16" s="128"/>
      <c r="E16" s="128"/>
      <c r="F16" s="128"/>
      <c r="G16" s="128"/>
      <c r="H16" s="129"/>
      <c r="J16" t="s">
        <v>361</v>
      </c>
      <c r="M16" t="s">
        <v>361</v>
      </c>
      <c r="P16" t="s">
        <v>361</v>
      </c>
    </row>
    <row r="17" spans="1:21" x14ac:dyDescent="0.35">
      <c r="A17" s="130"/>
      <c r="B17" s="131"/>
      <c r="C17" s="131"/>
      <c r="D17" s="131"/>
      <c r="E17" s="131"/>
      <c r="F17" s="131"/>
      <c r="G17" s="131"/>
      <c r="H17" s="132"/>
      <c r="J17" t="s">
        <v>157</v>
      </c>
      <c r="P17" t="s">
        <v>373</v>
      </c>
    </row>
    <row r="18" spans="1:21" x14ac:dyDescent="0.35">
      <c r="A18" s="127"/>
      <c r="B18" s="131"/>
      <c r="C18" s="131"/>
      <c r="E18" s="131"/>
      <c r="F18" s="131"/>
      <c r="G18" s="131"/>
      <c r="H18" s="132"/>
      <c r="J18" s="73" t="s">
        <v>354</v>
      </c>
      <c r="P18" t="s">
        <v>51</v>
      </c>
    </row>
    <row r="19" spans="1:21" x14ac:dyDescent="0.35">
      <c r="A19" s="130"/>
      <c r="B19" s="131"/>
      <c r="C19" s="131"/>
      <c r="D19" s="131"/>
      <c r="E19" s="131"/>
      <c r="F19" s="131"/>
      <c r="G19" s="131"/>
      <c r="H19" s="132"/>
      <c r="J19" s="73" t="s">
        <v>355</v>
      </c>
      <c r="L19" s="4"/>
      <c r="P19" t="s">
        <v>52</v>
      </c>
    </row>
    <row r="20" spans="1:21" x14ac:dyDescent="0.35">
      <c r="A20" s="12"/>
      <c r="H20" s="46"/>
      <c r="J20" s="73" t="s">
        <v>356</v>
      </c>
      <c r="P20" t="s">
        <v>53</v>
      </c>
    </row>
    <row r="21" spans="1:21" ht="14.5" customHeight="1" x14ac:dyDescent="0.35">
      <c r="A21" s="12"/>
      <c r="H21" s="46"/>
      <c r="J21" s="73" t="s">
        <v>357</v>
      </c>
      <c r="L21" s="25"/>
      <c r="P21" t="s">
        <v>54</v>
      </c>
    </row>
    <row r="22" spans="1:21" x14ac:dyDescent="0.35">
      <c r="A22" s="12"/>
      <c r="H22" s="46"/>
      <c r="J22" s="73" t="s">
        <v>358</v>
      </c>
      <c r="L22" s="9"/>
      <c r="P22" t="s">
        <v>55</v>
      </c>
    </row>
    <row r="23" spans="1:21" x14ac:dyDescent="0.35">
      <c r="A23" s="14"/>
      <c r="B23" s="13"/>
      <c r="C23" s="13"/>
      <c r="D23" s="13"/>
      <c r="E23" s="13"/>
      <c r="F23" s="13"/>
      <c r="G23" s="13"/>
      <c r="H23" s="23"/>
      <c r="J23" t="s">
        <v>159</v>
      </c>
      <c r="L23" s="22"/>
      <c r="M23" s="1" t="s">
        <v>374</v>
      </c>
      <c r="P23" t="s">
        <v>56</v>
      </c>
    </row>
    <row r="24" spans="1:21" x14ac:dyDescent="0.35">
      <c r="A24" s="45" t="s">
        <v>271</v>
      </c>
      <c r="C24" s="113" t="s">
        <v>352</v>
      </c>
      <c r="D24" s="180" t="s">
        <v>359</v>
      </c>
      <c r="E24" s="181"/>
      <c r="F24" s="12" t="s">
        <v>273</v>
      </c>
      <c r="H24" s="46"/>
      <c r="J24" t="s">
        <v>160</v>
      </c>
      <c r="M24" t="s">
        <v>376</v>
      </c>
      <c r="P24" t="s">
        <v>297</v>
      </c>
    </row>
    <row r="25" spans="1:21" x14ac:dyDescent="0.35">
      <c r="A25" s="156"/>
      <c r="B25" s="157" t="s">
        <v>415</v>
      </c>
      <c r="C25" s="114" t="s">
        <v>353</v>
      </c>
      <c r="D25" s="182" t="s">
        <v>359</v>
      </c>
      <c r="E25" s="183"/>
      <c r="F25" s="12" t="s">
        <v>272</v>
      </c>
      <c r="H25" s="74" t="s">
        <v>274</v>
      </c>
      <c r="I25" s="3"/>
      <c r="J25" t="s">
        <v>161</v>
      </c>
      <c r="M25" t="s">
        <v>375</v>
      </c>
      <c r="P25" t="s">
        <v>57</v>
      </c>
    </row>
    <row r="26" spans="1:21" ht="18.5" x14ac:dyDescent="0.45">
      <c r="A26" s="176" t="s">
        <v>174</v>
      </c>
      <c r="B26" s="177"/>
      <c r="C26" s="177"/>
      <c r="D26" s="177"/>
      <c r="E26" s="177"/>
      <c r="F26" s="177"/>
      <c r="G26" s="177"/>
      <c r="H26" s="178"/>
      <c r="I26" s="121"/>
      <c r="J26" t="s">
        <v>162</v>
      </c>
      <c r="P26" t="s">
        <v>58</v>
      </c>
    </row>
    <row r="27" spans="1:21" ht="14.5" customHeight="1" x14ac:dyDescent="0.35">
      <c r="A27" s="119" t="s">
        <v>173</v>
      </c>
      <c r="H27" s="46"/>
      <c r="J27" t="s">
        <v>166</v>
      </c>
      <c r="P27" t="s">
        <v>59</v>
      </c>
      <c r="U27" s="3"/>
    </row>
    <row r="28" spans="1:21" x14ac:dyDescent="0.35">
      <c r="A28" s="12"/>
      <c r="H28" s="46"/>
      <c r="J28" t="s">
        <v>163</v>
      </c>
      <c r="P28" t="s">
        <v>60</v>
      </c>
      <c r="U28" s="3"/>
    </row>
    <row r="29" spans="1:21" x14ac:dyDescent="0.35">
      <c r="A29" s="12"/>
      <c r="G29" s="115" t="s">
        <v>304</v>
      </c>
      <c r="H29" s="74" t="s">
        <v>361</v>
      </c>
      <c r="I29" s="3"/>
      <c r="J29" t="s">
        <v>164</v>
      </c>
      <c r="U29" s="3"/>
    </row>
    <row r="30" spans="1:21" ht="18.5" x14ac:dyDescent="0.45">
      <c r="A30" s="40" t="s">
        <v>285</v>
      </c>
      <c r="B30" s="41"/>
      <c r="C30" s="41"/>
      <c r="D30" s="44"/>
      <c r="E30" s="40" t="s">
        <v>180</v>
      </c>
      <c r="F30" s="41"/>
      <c r="G30" s="41"/>
      <c r="H30" s="43"/>
      <c r="I30" s="123"/>
      <c r="J30" t="s">
        <v>165</v>
      </c>
      <c r="U30" s="3"/>
    </row>
    <row r="31" spans="1:21" x14ac:dyDescent="0.35">
      <c r="A31" s="109" t="s">
        <v>276</v>
      </c>
      <c r="C31" s="4" t="s">
        <v>173</v>
      </c>
      <c r="E31" s="39" t="s">
        <v>4</v>
      </c>
      <c r="H31" s="74">
        <f>H2</f>
        <v>46209</v>
      </c>
      <c r="I31" s="3"/>
      <c r="U31" s="3"/>
    </row>
    <row r="32" spans="1:21" x14ac:dyDescent="0.35">
      <c r="A32" s="75" t="s">
        <v>277</v>
      </c>
      <c r="C32" s="3" t="s">
        <v>359</v>
      </c>
      <c r="E32" s="12" t="s">
        <v>280</v>
      </c>
      <c r="H32" s="74" t="s">
        <v>282</v>
      </c>
      <c r="I32" s="3"/>
      <c r="J32" s="1" t="s">
        <v>192</v>
      </c>
      <c r="U32" s="3"/>
    </row>
    <row r="33" spans="1:21" x14ac:dyDescent="0.35">
      <c r="A33" s="12" t="s">
        <v>278</v>
      </c>
      <c r="C33" s="3" t="s">
        <v>359</v>
      </c>
      <c r="E33" s="12" t="s">
        <v>284</v>
      </c>
      <c r="H33" s="74" t="s">
        <v>167</v>
      </c>
      <c r="I33" s="3"/>
      <c r="J33" t="s">
        <v>361</v>
      </c>
      <c r="U33" s="3"/>
    </row>
    <row r="34" spans="1:21" x14ac:dyDescent="0.35">
      <c r="A34" s="12" t="s">
        <v>283</v>
      </c>
      <c r="C34" s="3" t="s">
        <v>359</v>
      </c>
      <c r="E34" s="45" t="s">
        <v>281</v>
      </c>
      <c r="H34" s="120" t="s">
        <v>173</v>
      </c>
      <c r="I34" s="4"/>
      <c r="J34" s="24" t="s">
        <v>181</v>
      </c>
      <c r="U34" s="3"/>
    </row>
    <row r="35" spans="1:21" x14ac:dyDescent="0.35">
      <c r="A35" s="45" t="s">
        <v>279</v>
      </c>
      <c r="C35" s="3" t="s">
        <v>359</v>
      </c>
      <c r="E35" s="45" t="s">
        <v>62</v>
      </c>
      <c r="H35" s="120" t="s">
        <v>173</v>
      </c>
      <c r="I35" s="4"/>
      <c r="J35" s="24" t="s">
        <v>182</v>
      </c>
      <c r="U35" s="3"/>
    </row>
    <row r="36" spans="1:21" x14ac:dyDescent="0.35">
      <c r="A36" s="12"/>
      <c r="E36" s="12"/>
      <c r="H36" s="46"/>
      <c r="J36" s="24" t="s">
        <v>183</v>
      </c>
      <c r="U36" s="3"/>
    </row>
    <row r="37" spans="1:21" ht="18.5" x14ac:dyDescent="0.45">
      <c r="A37" s="40" t="s">
        <v>178</v>
      </c>
      <c r="B37" s="42"/>
      <c r="C37" s="42"/>
      <c r="D37" s="42"/>
      <c r="E37" s="40" t="s">
        <v>179</v>
      </c>
      <c r="F37" s="42"/>
      <c r="G37" s="42"/>
      <c r="H37" s="44"/>
      <c r="I37" s="124"/>
      <c r="J37" s="24" t="s">
        <v>184</v>
      </c>
    </row>
    <row r="38" spans="1:21" x14ac:dyDescent="0.35">
      <c r="A38" s="12" t="s">
        <v>177</v>
      </c>
      <c r="C38" s="134" t="s">
        <v>361</v>
      </c>
      <c r="D38" s="137"/>
      <c r="E38" s="92" t="s">
        <v>361</v>
      </c>
      <c r="F38" s="134"/>
      <c r="G38" s="134"/>
      <c r="H38" s="137" t="s">
        <v>376</v>
      </c>
      <c r="I38" s="122"/>
      <c r="J38" s="24" t="s">
        <v>185</v>
      </c>
    </row>
    <row r="39" spans="1:21" x14ac:dyDescent="0.35">
      <c r="A39" s="14" t="s">
        <v>305</v>
      </c>
      <c r="B39" s="13"/>
      <c r="C39" s="76"/>
      <c r="D39" s="138"/>
      <c r="E39" s="92" t="s">
        <v>361</v>
      </c>
      <c r="F39" s="134"/>
      <c r="G39" s="134"/>
      <c r="H39" s="137" t="s">
        <v>376</v>
      </c>
      <c r="I39" s="122"/>
      <c r="J39" s="24" t="s">
        <v>186</v>
      </c>
    </row>
    <row r="40" spans="1:21" x14ac:dyDescent="0.35">
      <c r="A40" s="12" t="s">
        <v>175</v>
      </c>
      <c r="C40" s="3" t="s">
        <v>361</v>
      </c>
      <c r="D40" s="74"/>
      <c r="E40" s="92" t="s">
        <v>361</v>
      </c>
      <c r="F40" s="134"/>
      <c r="G40" s="134"/>
      <c r="H40" s="137" t="s">
        <v>376</v>
      </c>
      <c r="I40" s="122"/>
      <c r="J40" s="24" t="s">
        <v>187</v>
      </c>
    </row>
    <row r="41" spans="1:21" x14ac:dyDescent="0.35">
      <c r="A41" s="14" t="s">
        <v>305</v>
      </c>
      <c r="B41" s="13"/>
      <c r="C41" s="76"/>
      <c r="D41" s="138"/>
      <c r="E41" s="92" t="s">
        <v>361</v>
      </c>
      <c r="F41" s="134"/>
      <c r="G41" s="134"/>
      <c r="H41" s="137" t="s">
        <v>376</v>
      </c>
      <c r="I41" s="122"/>
      <c r="J41" s="24" t="s">
        <v>188</v>
      </c>
    </row>
    <row r="42" spans="1:21" x14ac:dyDescent="0.35">
      <c r="A42" s="12" t="s">
        <v>176</v>
      </c>
      <c r="C42" s="3" t="s">
        <v>361</v>
      </c>
      <c r="D42" s="74"/>
      <c r="E42" s="92" t="s">
        <v>361</v>
      </c>
      <c r="F42" s="134"/>
      <c r="G42" s="134"/>
      <c r="H42" s="137" t="s">
        <v>376</v>
      </c>
      <c r="I42" s="122"/>
      <c r="J42" s="24" t="s">
        <v>189</v>
      </c>
    </row>
    <row r="43" spans="1:21" x14ac:dyDescent="0.35">
      <c r="A43" s="12" t="s">
        <v>305</v>
      </c>
      <c r="C43" s="76"/>
      <c r="D43" s="138"/>
      <c r="E43" s="92" t="s">
        <v>361</v>
      </c>
      <c r="F43" s="134"/>
      <c r="G43" s="134"/>
      <c r="H43" s="137" t="s">
        <v>376</v>
      </c>
      <c r="I43" s="122"/>
      <c r="J43" s="30" t="s">
        <v>190</v>
      </c>
    </row>
    <row r="44" spans="1:21" ht="18.5" x14ac:dyDescent="0.45">
      <c r="A44" s="176" t="s">
        <v>300</v>
      </c>
      <c r="B44" s="177"/>
      <c r="C44" s="177"/>
      <c r="D44" s="179"/>
      <c r="E44" s="177"/>
      <c r="F44" s="177"/>
      <c r="G44" s="177"/>
      <c r="H44" s="178"/>
      <c r="I44" s="121"/>
      <c r="J44" s="24" t="s">
        <v>191</v>
      </c>
    </row>
    <row r="45" spans="1:21" x14ac:dyDescent="0.35">
      <c r="A45" s="135" t="s">
        <v>361</v>
      </c>
      <c r="B45" s="136"/>
      <c r="C45" s="136"/>
      <c r="D45" s="134"/>
      <c r="E45" s="92" t="s">
        <v>361</v>
      </c>
      <c r="F45" s="134"/>
      <c r="G45" s="134"/>
      <c r="H45" s="137"/>
    </row>
    <row r="46" spans="1:21" x14ac:dyDescent="0.35">
      <c r="A46" s="92" t="s">
        <v>361</v>
      </c>
      <c r="B46" s="134"/>
      <c r="C46" s="134"/>
      <c r="D46" s="134"/>
      <c r="E46" s="92" t="s">
        <v>361</v>
      </c>
      <c r="F46" s="134"/>
      <c r="G46" s="134"/>
      <c r="H46" s="137"/>
    </row>
    <row r="47" spans="1:21" x14ac:dyDescent="0.35">
      <c r="A47" s="92" t="s">
        <v>361</v>
      </c>
      <c r="B47" s="134"/>
      <c r="C47" s="134"/>
      <c r="D47" s="134"/>
      <c r="E47" s="92" t="s">
        <v>361</v>
      </c>
      <c r="F47" s="134"/>
      <c r="G47" s="134"/>
      <c r="H47" s="137"/>
    </row>
    <row r="48" spans="1:21" x14ac:dyDescent="0.35">
      <c r="A48" s="92" t="s">
        <v>361</v>
      </c>
      <c r="B48" s="134"/>
      <c r="C48" s="134"/>
      <c r="D48" s="134"/>
      <c r="E48" s="92" t="s">
        <v>361</v>
      </c>
      <c r="F48" s="134"/>
      <c r="G48" s="134"/>
      <c r="H48" s="137"/>
    </row>
    <row r="49" spans="1:8" x14ac:dyDescent="0.35">
      <c r="A49" s="92" t="s">
        <v>361</v>
      </c>
      <c r="B49" s="134"/>
      <c r="C49" s="134"/>
      <c r="D49" s="134"/>
      <c r="E49" s="92" t="s">
        <v>361</v>
      </c>
      <c r="F49" s="134"/>
      <c r="G49" s="134"/>
      <c r="H49" s="137"/>
    </row>
    <row r="50" spans="1:8" x14ac:dyDescent="0.35">
      <c r="A50" s="135" t="s">
        <v>361</v>
      </c>
      <c r="B50" s="136"/>
      <c r="C50" s="136"/>
      <c r="D50" s="136"/>
      <c r="E50" s="135" t="s">
        <v>361</v>
      </c>
      <c r="F50" s="136"/>
      <c r="G50" s="136"/>
      <c r="H50" s="146"/>
    </row>
  </sheetData>
  <mergeCells count="7">
    <mergeCell ref="A1:H1"/>
    <mergeCell ref="A15:H15"/>
    <mergeCell ref="A44:H44"/>
    <mergeCell ref="A26:H26"/>
    <mergeCell ref="A9:H9"/>
    <mergeCell ref="D24:E24"/>
    <mergeCell ref="D25:E25"/>
  </mergeCells>
  <dataValidations count="14">
    <dataValidation type="list" allowBlank="1" showInputMessage="1" showErrorMessage="1" sqref="C5" xr:uid="{D4B789D2-1171-4FF0-96A4-9977977FE22E}">
      <formula1>"(Select), Administrative, Clinical"</formula1>
    </dataValidation>
    <dataValidation type="list" allowBlank="1" showInputMessage="1" showErrorMessage="1" sqref="C13" xr:uid="{B0D7D0CA-F689-407B-A353-EFCC1B3A018D}">
      <formula1>"(Select), High, Low, Moderate"</formula1>
    </dataValidation>
    <dataValidation type="list" allowBlank="1" showInputMessage="1" showErrorMessage="1" sqref="H29:I29" xr:uid="{E88CE403-675D-4AD8-9D99-97723CB4D592}">
      <formula1>"(Select), N/A, Yes, No"</formula1>
    </dataValidation>
    <dataValidation type="list" allowBlank="1" showInputMessage="1" showErrorMessage="1" sqref="C6" xr:uid="{5DD0CA57-47D0-4523-BFCC-83E792E8FE25}">
      <formula1>$N$2:$N$11</formula1>
    </dataValidation>
    <dataValidation type="list" allowBlank="1" showInputMessage="1" showErrorMessage="1" sqref="C7" xr:uid="{05174309-FD9C-4D0C-AAB4-41C76EC224CB}">
      <formula1>$P$2:$P$9</formula1>
    </dataValidation>
    <dataValidation type="list" allowBlank="1" showInputMessage="1" showErrorMessage="1" sqref="D8" xr:uid="{D973D8D8-C5A3-4407-B45C-BC0256F12D66}">
      <formula1>$J$17:$J$30</formula1>
    </dataValidation>
    <dataValidation type="list" allowBlank="1" showInputMessage="1" showErrorMessage="1" sqref="H5:I5" xr:uid="{2F572BAF-3164-4618-AE6F-9EAD77D9E420}">
      <formula1>$J$2:$J$4</formula1>
    </dataValidation>
    <dataValidation type="list" allowBlank="1" showInputMessage="1" showErrorMessage="1" sqref="H6:I6" xr:uid="{5BD914BA-8347-4BCF-A0DD-F10F1C639F19}">
      <formula1>$L$2:$L$4</formula1>
    </dataValidation>
    <dataValidation type="list" allowBlank="1" showInputMessage="1" showErrorMessage="1" sqref="C10" xr:uid="{FD2F7C4D-E210-4A02-9950-A8170447DB28}">
      <formula1>$J$16:$J$30</formula1>
    </dataValidation>
    <dataValidation type="list" allowBlank="1" showInputMessage="1" showErrorMessage="1" sqref="C38:D38 C42:D42 C40:D40" xr:uid="{30AB7C28-C217-44FA-9D6A-39FAA5C6BD7C}">
      <formula1>$M$16</formula1>
    </dataValidation>
    <dataValidation type="list" allowBlank="1" showInputMessage="1" showErrorMessage="1" sqref="A45:A50 D45:H50 B46:C50" xr:uid="{35A53857-9BD7-4D26-BD34-F26484EE75CC}">
      <formula1>$J$33:$J$44</formula1>
    </dataValidation>
    <dataValidation type="list" allowBlank="1" showInputMessage="1" showErrorMessage="1" sqref="E38:E43 I38:I43" xr:uid="{AD1100F4-8EF0-4322-8E8D-252376907BFB}">
      <formula1>$P$16:$P$28</formula1>
    </dataValidation>
    <dataValidation type="list" allowBlank="1" showInputMessage="1" showErrorMessage="1" sqref="H38:H43" xr:uid="{01DD8048-19A1-4A60-B312-88E97A1D84F9}">
      <formula1>$M$24:$M$25</formula1>
    </dataValidation>
    <dataValidation type="list" allowBlank="1" showInputMessage="1" showErrorMessage="1" sqref="C8" xr:uid="{00292953-8C77-4706-B2EE-B6679FF09935}">
      <formula1>$Q$2:$Q$7</formula1>
    </dataValidation>
  </dataValidations>
  <pageMargins left="0.7" right="0.7" top="0.75" bottom="0.75" header="0.3" footer="0.3"/>
  <pageSetup scale="64" orientation="portrait" r:id="rId1"/>
  <headerFooter>
    <oddHeader xml:space="preserve">&amp;C&amp;"-,Bold"&amp;18Life Cycle Data Worksheet&amp;"-,Regular"
</oddHeader>
  </headerFooter>
  <colBreaks count="1" manualBreakCount="1">
    <brk id="8" max="4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2C1F-BE8D-45A8-95BC-17D87062A44A}">
  <dimension ref="A1:AA53"/>
  <sheetViews>
    <sheetView view="pageBreakPreview" zoomScaleNormal="100" zoomScaleSheetLayoutView="100" workbookViewId="0">
      <selection activeCell="H3" sqref="H3:I3"/>
    </sheetView>
  </sheetViews>
  <sheetFormatPr defaultColWidth="7.453125" defaultRowHeight="14.5" x14ac:dyDescent="0.35"/>
  <cols>
    <col min="1" max="1" width="3.6328125" customWidth="1"/>
    <col min="2" max="2" width="14.6328125" customWidth="1"/>
    <col min="3" max="3" width="22.6328125" customWidth="1"/>
    <col min="4" max="4" width="10.08984375" customWidth="1"/>
    <col min="8" max="8" width="16.6328125" customWidth="1"/>
    <col min="9" max="9" width="20.6328125" customWidth="1"/>
    <col min="10" max="10" width="3.6328125" customWidth="1"/>
    <col min="11" max="11" width="14.6328125" customWidth="1"/>
    <col min="12" max="12" width="22.6328125" customWidth="1"/>
    <col min="13" max="13" width="10.08984375" customWidth="1"/>
    <col min="14" max="16" width="7.453125" customWidth="1"/>
    <col min="17" max="17" width="16.6328125" customWidth="1"/>
    <col min="18" max="18" width="20.6328125" customWidth="1"/>
    <col min="19" max="19" width="3.6328125" customWidth="1"/>
    <col min="20" max="20" width="46.54296875" customWidth="1"/>
    <col min="21" max="21" width="23.81640625" customWidth="1"/>
    <col min="22" max="22" width="23.6328125" customWidth="1"/>
    <col min="23" max="23" width="28.81640625" customWidth="1"/>
  </cols>
  <sheetData>
    <row r="1" spans="1:23" ht="19" thickBot="1" x14ac:dyDescent="0.5">
      <c r="A1" s="188" t="s">
        <v>109</v>
      </c>
      <c r="B1" s="189"/>
      <c r="C1" s="189"/>
      <c r="D1" s="189"/>
      <c r="E1" s="189"/>
      <c r="F1" s="189"/>
      <c r="G1" s="189"/>
      <c r="H1" s="189"/>
      <c r="I1" s="190"/>
      <c r="J1" s="188" t="s">
        <v>109</v>
      </c>
      <c r="K1" s="189"/>
      <c r="L1" s="189"/>
      <c r="M1" s="189"/>
      <c r="N1" s="189"/>
      <c r="O1" s="189"/>
      <c r="P1" s="189"/>
      <c r="Q1" s="189"/>
      <c r="R1" s="190"/>
      <c r="S1" s="5"/>
      <c r="T1" s="8" t="s">
        <v>87</v>
      </c>
    </row>
    <row r="2" spans="1:23" ht="28" customHeight="1" x14ac:dyDescent="0.35">
      <c r="A2" s="69" t="s">
        <v>110</v>
      </c>
      <c r="C2" t="str">
        <f>'Life Cycle Data Worksheet'!C2</f>
        <v>Muncie Family Physicians</v>
      </c>
      <c r="G2" s="62" t="s">
        <v>4</v>
      </c>
      <c r="H2" s="203">
        <f>'Life Cycle Data Worksheet'!H2</f>
        <v>46209</v>
      </c>
      <c r="I2" s="204"/>
      <c r="J2" s="84"/>
      <c r="K2" s="193" t="s">
        <v>195</v>
      </c>
      <c r="L2" s="194"/>
      <c r="M2" s="53" t="s">
        <v>286</v>
      </c>
      <c r="N2" s="198" t="s">
        <v>113</v>
      </c>
      <c r="O2" s="199"/>
      <c r="P2" s="200"/>
      <c r="Q2" s="53" t="s">
        <v>287</v>
      </c>
      <c r="R2" s="141" t="s">
        <v>294</v>
      </c>
      <c r="T2" s="20" t="s">
        <v>107</v>
      </c>
    </row>
    <row r="3" spans="1:23" ht="15" thickBot="1" x14ac:dyDescent="0.4">
      <c r="A3" s="69" t="s">
        <v>6</v>
      </c>
      <c r="C3" t="str">
        <f>'Life Cycle Data Worksheet'!C3</f>
        <v>(from Initial Information)</v>
      </c>
      <c r="G3" s="57" t="s">
        <v>5</v>
      </c>
      <c r="H3" s="205" t="str">
        <f>'Life Cycle Data Worksheet'!H3</f>
        <v>(Must be Requested)</v>
      </c>
      <c r="I3" s="206"/>
      <c r="J3" s="12"/>
      <c r="K3" s="99" t="s">
        <v>220</v>
      </c>
      <c r="L3" s="47"/>
      <c r="M3" s="48"/>
      <c r="N3" s="12"/>
      <c r="P3" s="46"/>
      <c r="Q3" s="48"/>
      <c r="R3" s="48"/>
      <c r="T3" s="20" t="s">
        <v>106</v>
      </c>
    </row>
    <row r="4" spans="1:23" ht="14.5" customHeight="1" thickBot="1" x14ac:dyDescent="0.4">
      <c r="A4" s="12"/>
      <c r="C4" s="126" t="str">
        <f>'Life Cycle Data Worksheet'!C4</f>
        <v>(from Initial Information)</v>
      </c>
      <c r="H4" s="205"/>
      <c r="I4" s="206"/>
      <c r="J4" s="12"/>
      <c r="K4" s="49" t="s">
        <v>217</v>
      </c>
      <c r="L4" s="47"/>
      <c r="M4" s="48"/>
      <c r="N4" s="12"/>
      <c r="P4" s="46"/>
      <c r="Q4" s="48"/>
      <c r="R4" s="48"/>
      <c r="T4" s="15" t="s">
        <v>12</v>
      </c>
      <c r="U4" s="31" t="s">
        <v>88</v>
      </c>
      <c r="V4" s="31" t="s">
        <v>89</v>
      </c>
      <c r="W4" s="16" t="s">
        <v>90</v>
      </c>
    </row>
    <row r="5" spans="1:23" ht="15" customHeight="1" thickBot="1" x14ac:dyDescent="0.4">
      <c r="A5" s="69" t="s">
        <v>7</v>
      </c>
      <c r="C5" t="str">
        <f>'Life Cycle Data Worksheet'!C5</f>
        <v>(Select)</v>
      </c>
      <c r="G5" s="57" t="s">
        <v>8</v>
      </c>
      <c r="H5" s="205" t="str">
        <f>'Life Cycle Data Worksheet'!H5</f>
        <v>(Select)</v>
      </c>
      <c r="I5" s="206"/>
      <c r="J5" s="12"/>
      <c r="K5" s="61" t="s">
        <v>216</v>
      </c>
      <c r="L5" s="60"/>
      <c r="M5" s="65"/>
      <c r="N5" s="14"/>
      <c r="O5" s="13"/>
      <c r="P5" s="23"/>
      <c r="Q5" s="65"/>
      <c r="R5" s="65"/>
      <c r="T5" s="17" t="s">
        <v>91</v>
      </c>
      <c r="U5" s="18">
        <v>1</v>
      </c>
      <c r="V5" s="18">
        <v>1</v>
      </c>
      <c r="W5" s="18">
        <v>1</v>
      </c>
    </row>
    <row r="6" spans="1:23" ht="15" customHeight="1" thickBot="1" x14ac:dyDescent="0.4">
      <c r="A6" s="69" t="s">
        <v>10</v>
      </c>
      <c r="C6" t="str">
        <f>'Life Cycle Data Worksheet'!C6</f>
        <v>(Select)</v>
      </c>
      <c r="G6" s="57" t="s">
        <v>9</v>
      </c>
      <c r="H6" s="205" t="str">
        <f>'Life Cycle Data Worksheet'!H6</f>
        <v>(Select)</v>
      </c>
      <c r="I6" s="206"/>
      <c r="J6" s="54"/>
      <c r="K6" s="82" t="s">
        <v>124</v>
      </c>
      <c r="L6" s="67"/>
      <c r="M6" s="81"/>
      <c r="N6" s="50"/>
      <c r="O6" s="66"/>
      <c r="P6" s="67"/>
      <c r="Q6" s="81"/>
      <c r="R6" s="81"/>
      <c r="T6" s="17" t="s">
        <v>92</v>
      </c>
      <c r="U6" s="18" t="s">
        <v>93</v>
      </c>
      <c r="V6" s="18">
        <v>1</v>
      </c>
      <c r="W6" s="18">
        <v>1</v>
      </c>
    </row>
    <row r="7" spans="1:23" ht="15" customHeight="1" thickBot="1" x14ac:dyDescent="0.4">
      <c r="A7" s="72" t="s">
        <v>345</v>
      </c>
      <c r="C7" t="str">
        <f>'Life Cycle Data Worksheet'!C7</f>
        <v>(Select)</v>
      </c>
      <c r="G7" s="57" t="s">
        <v>171</v>
      </c>
      <c r="H7" s="205" t="str">
        <f>'Life Cycle Data Worksheet'!H7</f>
        <v>(from Initial Information)</v>
      </c>
      <c r="I7" s="206"/>
      <c r="J7" s="12"/>
      <c r="K7" s="99" t="s">
        <v>221</v>
      </c>
      <c r="L7" s="47"/>
      <c r="M7" s="48"/>
      <c r="N7" s="12"/>
      <c r="P7" s="46"/>
      <c r="Q7" s="48"/>
      <c r="R7" s="48"/>
      <c r="T7" s="17" t="s">
        <v>1</v>
      </c>
      <c r="U7" s="18" t="s">
        <v>94</v>
      </c>
      <c r="V7" s="18" t="s">
        <v>94</v>
      </c>
      <c r="W7" s="18">
        <v>5</v>
      </c>
    </row>
    <row r="8" spans="1:23" ht="15" customHeight="1" thickBot="1" x14ac:dyDescent="0.4">
      <c r="A8" s="45" t="s">
        <v>347</v>
      </c>
      <c r="C8" t="str">
        <f>'Life Cycle Data Worksheet'!C8</f>
        <v>(Select)</v>
      </c>
      <c r="G8" s="57" t="s">
        <v>172</v>
      </c>
      <c r="H8" s="207" t="str">
        <f>'Life Cycle Data Worksheet'!H8</f>
        <v>(from Initial Information)</v>
      </c>
      <c r="I8" s="208"/>
      <c r="J8" s="12"/>
      <c r="K8" s="49" t="s">
        <v>219</v>
      </c>
      <c r="L8" s="47"/>
      <c r="M8" s="48"/>
      <c r="N8" s="12"/>
      <c r="P8" s="46"/>
      <c r="Q8" s="48"/>
      <c r="R8" s="48"/>
      <c r="T8" s="17" t="s">
        <v>95</v>
      </c>
      <c r="U8" s="18" t="s">
        <v>96</v>
      </c>
      <c r="V8" s="18" t="s">
        <v>97</v>
      </c>
      <c r="W8" s="18" t="s">
        <v>98</v>
      </c>
    </row>
    <row r="9" spans="1:23" ht="28" customHeight="1" thickBot="1" x14ac:dyDescent="0.4">
      <c r="A9" s="50"/>
      <c r="B9" s="191" t="s">
        <v>195</v>
      </c>
      <c r="C9" s="192"/>
      <c r="D9" s="52" t="s">
        <v>286</v>
      </c>
      <c r="E9" s="195" t="s">
        <v>113</v>
      </c>
      <c r="F9" s="196"/>
      <c r="G9" s="197"/>
      <c r="H9" s="52" t="s">
        <v>287</v>
      </c>
      <c r="I9" s="51" t="s">
        <v>294</v>
      </c>
      <c r="J9" s="12"/>
      <c r="K9" s="61" t="s">
        <v>218</v>
      </c>
      <c r="L9" s="60"/>
      <c r="M9" s="65"/>
      <c r="N9" s="14"/>
      <c r="O9" s="13"/>
      <c r="P9" s="23"/>
      <c r="Q9" s="65"/>
      <c r="R9" s="65"/>
      <c r="T9" s="17" t="s">
        <v>2</v>
      </c>
      <c r="U9" s="18" t="s">
        <v>94</v>
      </c>
      <c r="V9" s="18">
        <v>5</v>
      </c>
      <c r="W9" s="18">
        <v>5</v>
      </c>
    </row>
    <row r="10" spans="1:23" ht="15" customHeight="1" thickBot="1" x14ac:dyDescent="0.4">
      <c r="A10" s="81"/>
      <c r="B10" s="82" t="s">
        <v>157</v>
      </c>
      <c r="C10" s="67"/>
      <c r="D10" s="81"/>
      <c r="E10" s="50"/>
      <c r="F10" s="66"/>
      <c r="G10" s="67"/>
      <c r="H10" s="81"/>
      <c r="I10" s="67"/>
      <c r="J10" s="12"/>
      <c r="K10" s="82" t="s">
        <v>208</v>
      </c>
      <c r="L10" s="67"/>
      <c r="M10" s="81"/>
      <c r="N10" s="50"/>
      <c r="O10" s="66"/>
      <c r="P10" s="67"/>
      <c r="Q10" s="81"/>
      <c r="R10" s="81"/>
      <c r="T10" s="17" t="s">
        <v>3</v>
      </c>
      <c r="U10" s="18">
        <v>5</v>
      </c>
      <c r="V10" s="18">
        <v>5</v>
      </c>
      <c r="W10" s="18">
        <v>5</v>
      </c>
    </row>
    <row r="11" spans="1:23" ht="14.5" customHeight="1" thickBot="1" x14ac:dyDescent="0.4">
      <c r="A11" s="12"/>
      <c r="B11" s="14" t="s">
        <v>91</v>
      </c>
      <c r="C11" s="23"/>
      <c r="D11" s="65"/>
      <c r="E11" s="14"/>
      <c r="F11" s="13"/>
      <c r="G11" s="23"/>
      <c r="H11" s="65"/>
      <c r="I11" s="23"/>
      <c r="J11" s="12"/>
      <c r="K11" s="99" t="s">
        <v>222</v>
      </c>
      <c r="L11" s="47"/>
      <c r="M11" s="48"/>
      <c r="N11" s="12"/>
      <c r="P11" s="46"/>
      <c r="Q11" s="48"/>
      <c r="R11" s="48"/>
      <c r="S11" s="32"/>
      <c r="T11" s="33" t="s">
        <v>99</v>
      </c>
      <c r="U11" s="18" t="s">
        <v>94</v>
      </c>
      <c r="V11" s="18" t="s">
        <v>94</v>
      </c>
      <c r="W11" s="18">
        <v>5</v>
      </c>
    </row>
    <row r="12" spans="1:23" ht="15" customHeight="1" thickBot="1" x14ac:dyDescent="0.4">
      <c r="A12" s="12"/>
      <c r="B12" s="50" t="s">
        <v>395</v>
      </c>
      <c r="C12" s="67"/>
      <c r="D12" s="81"/>
      <c r="E12" s="50"/>
      <c r="F12" s="66"/>
      <c r="G12" s="67"/>
      <c r="H12" s="81"/>
      <c r="I12" s="67"/>
      <c r="J12" s="12"/>
      <c r="K12" s="49" t="s">
        <v>223</v>
      </c>
      <c r="L12" s="47"/>
      <c r="M12" s="48"/>
      <c r="N12" s="12"/>
      <c r="P12" s="46"/>
      <c r="Q12" s="48"/>
      <c r="R12" s="48"/>
      <c r="T12" s="17" t="s">
        <v>100</v>
      </c>
      <c r="U12" s="18">
        <v>15</v>
      </c>
      <c r="V12" s="18" t="s">
        <v>101</v>
      </c>
      <c r="W12" s="18" t="s">
        <v>94</v>
      </c>
    </row>
    <row r="13" spans="1:23" ht="15" customHeight="1" thickBot="1" x14ac:dyDescent="0.4">
      <c r="A13" s="48"/>
      <c r="B13" s="50" t="s">
        <v>396</v>
      </c>
      <c r="C13" s="66"/>
      <c r="D13" s="50"/>
      <c r="E13" s="50"/>
      <c r="F13" s="66"/>
      <c r="G13" s="66"/>
      <c r="H13" s="50"/>
      <c r="I13" s="81"/>
      <c r="J13" s="12"/>
      <c r="K13" s="61" t="s">
        <v>218</v>
      </c>
      <c r="L13" s="60"/>
      <c r="M13" s="65"/>
      <c r="N13" s="14"/>
      <c r="O13" s="13"/>
      <c r="P13" s="23"/>
      <c r="Q13" s="65"/>
      <c r="R13" s="65"/>
      <c r="T13" s="17" t="s">
        <v>102</v>
      </c>
      <c r="U13" s="18" t="s">
        <v>103</v>
      </c>
      <c r="V13" s="18" t="s">
        <v>103</v>
      </c>
      <c r="W13" s="18">
        <v>15</v>
      </c>
    </row>
    <row r="14" spans="1:23" ht="15" customHeight="1" thickBot="1" x14ac:dyDescent="0.4">
      <c r="A14" s="12"/>
      <c r="B14" s="14" t="s">
        <v>394</v>
      </c>
      <c r="D14" s="14"/>
      <c r="E14" s="14"/>
      <c r="H14" s="14"/>
      <c r="I14" s="65"/>
      <c r="J14" s="48"/>
      <c r="K14" s="50" t="s">
        <v>399</v>
      </c>
      <c r="L14" s="66"/>
      <c r="M14" s="50"/>
      <c r="N14" s="50"/>
      <c r="O14" s="66"/>
      <c r="P14" s="66"/>
      <c r="Q14" s="50"/>
      <c r="R14" s="81"/>
      <c r="T14" s="17" t="s">
        <v>104</v>
      </c>
      <c r="U14" s="18" t="s">
        <v>103</v>
      </c>
      <c r="V14" s="18">
        <v>15</v>
      </c>
      <c r="W14" s="18">
        <v>15</v>
      </c>
    </row>
    <row r="15" spans="1:23" x14ac:dyDescent="0.35">
      <c r="A15" s="12"/>
      <c r="B15" s="50" t="s">
        <v>227</v>
      </c>
      <c r="C15" s="67"/>
      <c r="D15" s="81"/>
      <c r="E15" s="50"/>
      <c r="F15" s="66"/>
      <c r="G15" s="67"/>
      <c r="H15" s="81"/>
      <c r="I15" s="67"/>
      <c r="J15" s="48"/>
      <c r="K15" s="50" t="s">
        <v>400</v>
      </c>
      <c r="L15" s="66"/>
      <c r="M15" s="50"/>
      <c r="N15" s="50"/>
      <c r="O15" s="66"/>
      <c r="P15" s="66"/>
      <c r="Q15" s="50"/>
      <c r="R15" s="81"/>
      <c r="T15" s="19" t="s">
        <v>105</v>
      </c>
    </row>
    <row r="16" spans="1:23" x14ac:dyDescent="0.35">
      <c r="A16" s="12"/>
      <c r="B16" s="98" t="s">
        <v>393</v>
      </c>
      <c r="C16" s="67"/>
      <c r="D16" s="81"/>
      <c r="E16" s="50"/>
      <c r="F16" s="66"/>
      <c r="G16" s="67"/>
      <c r="H16" s="81"/>
      <c r="I16" s="67"/>
      <c r="J16" s="65"/>
      <c r="K16" s="14" t="s">
        <v>396</v>
      </c>
      <c r="M16" s="14"/>
      <c r="N16" s="14"/>
      <c r="Q16" s="14"/>
      <c r="R16" s="65"/>
    </row>
    <row r="17" spans="1:27" x14ac:dyDescent="0.35">
      <c r="A17" s="14"/>
      <c r="B17" s="50" t="s">
        <v>330</v>
      </c>
      <c r="D17" s="14"/>
      <c r="E17" s="14"/>
      <c r="H17" s="14"/>
      <c r="I17" s="65"/>
      <c r="J17" s="155"/>
      <c r="K17" s="79" t="s">
        <v>209</v>
      </c>
      <c r="L17" s="77"/>
      <c r="M17" s="78"/>
      <c r="N17" s="79"/>
      <c r="O17" s="80"/>
      <c r="P17" s="77"/>
      <c r="Q17" s="81"/>
      <c r="R17" s="81"/>
      <c r="T17" s="26" t="s">
        <v>137</v>
      </c>
      <c r="U17" s="27"/>
      <c r="V17" s="27"/>
      <c r="W17" s="27"/>
      <c r="X17" s="21"/>
      <c r="Y17" s="21"/>
      <c r="Z17" s="21"/>
      <c r="AA17" s="21"/>
    </row>
    <row r="18" spans="1:27" x14ac:dyDescent="0.35">
      <c r="A18" s="155"/>
      <c r="B18" s="80" t="s">
        <v>197</v>
      </c>
      <c r="C18" s="77"/>
      <c r="D18" s="78"/>
      <c r="E18" s="79"/>
      <c r="F18" s="80"/>
      <c r="G18" s="77"/>
      <c r="H18" s="81"/>
      <c r="I18" s="67"/>
      <c r="J18" s="81"/>
      <c r="K18" s="79" t="s">
        <v>309</v>
      </c>
      <c r="L18" s="77"/>
      <c r="M18" s="78"/>
      <c r="N18" s="80"/>
      <c r="O18" s="80"/>
      <c r="P18" s="77"/>
      <c r="Q18" s="81"/>
      <c r="R18" s="81"/>
      <c r="T18" s="26" t="s">
        <v>138</v>
      </c>
      <c r="U18" s="27"/>
      <c r="V18" s="27"/>
      <c r="W18" s="27"/>
      <c r="X18" s="21"/>
      <c r="Y18" s="21"/>
      <c r="Z18" s="21"/>
      <c r="AA18" s="21"/>
    </row>
    <row r="19" spans="1:27" x14ac:dyDescent="0.35">
      <c r="A19" s="81"/>
      <c r="B19" s="79" t="s">
        <v>306</v>
      </c>
      <c r="C19" s="77"/>
      <c r="D19" s="78"/>
      <c r="E19" s="79"/>
      <c r="F19" s="80"/>
      <c r="G19" s="77"/>
      <c r="H19" s="81"/>
      <c r="I19" s="67"/>
      <c r="J19" s="81"/>
      <c r="K19" s="82" t="s">
        <v>161</v>
      </c>
      <c r="L19" s="67"/>
      <c r="M19" s="81"/>
      <c r="N19" s="50"/>
      <c r="O19" s="66"/>
      <c r="P19" s="67"/>
      <c r="Q19" s="81"/>
      <c r="R19" s="81"/>
      <c r="T19" s="26" t="s">
        <v>139</v>
      </c>
      <c r="U19" s="27"/>
      <c r="V19" s="27"/>
      <c r="W19" s="27"/>
      <c r="X19" s="21"/>
      <c r="Y19" s="21"/>
      <c r="Z19" s="21"/>
      <c r="AA19" s="21"/>
    </row>
    <row r="20" spans="1:27" x14ac:dyDescent="0.35">
      <c r="A20" s="81"/>
      <c r="B20" s="82" t="s">
        <v>397</v>
      </c>
      <c r="C20" s="66"/>
      <c r="D20" s="50"/>
      <c r="E20" s="50"/>
      <c r="F20" s="66"/>
      <c r="G20" s="66"/>
      <c r="H20" s="50"/>
      <c r="I20" s="81"/>
      <c r="J20" s="12"/>
      <c r="K20" s="50" t="s">
        <v>161</v>
      </c>
      <c r="L20" s="67"/>
      <c r="M20" s="81"/>
      <c r="N20" s="50"/>
      <c r="O20" s="66"/>
      <c r="P20" s="67"/>
      <c r="Q20" s="81"/>
      <c r="R20" s="81"/>
      <c r="T20" s="28" t="s">
        <v>141</v>
      </c>
      <c r="U20" s="27"/>
      <c r="V20" s="27"/>
      <c r="W20" s="27"/>
      <c r="X20" s="21"/>
      <c r="Y20" s="21"/>
      <c r="Z20" s="21"/>
      <c r="AA20" s="21"/>
    </row>
    <row r="21" spans="1:27" x14ac:dyDescent="0.35">
      <c r="A21" s="12"/>
      <c r="B21" s="50" t="s">
        <v>91</v>
      </c>
      <c r="C21" s="66"/>
      <c r="D21" s="50"/>
      <c r="E21" s="50"/>
      <c r="F21" s="66"/>
      <c r="G21" s="66"/>
      <c r="H21" s="50"/>
      <c r="I21" s="81"/>
      <c r="J21" s="12"/>
      <c r="K21" s="50" t="s">
        <v>123</v>
      </c>
      <c r="L21" s="67"/>
      <c r="M21" s="81"/>
      <c r="N21" s="50"/>
      <c r="O21" s="66"/>
      <c r="P21" s="67"/>
      <c r="Q21" s="81"/>
      <c r="R21" s="81"/>
      <c r="T21" s="28" t="s">
        <v>140</v>
      </c>
      <c r="U21" s="27"/>
      <c r="V21" s="27"/>
      <c r="W21" s="27"/>
      <c r="X21" s="21"/>
      <c r="Y21" s="21"/>
      <c r="Z21" s="21"/>
      <c r="AA21" s="21"/>
    </row>
    <row r="22" spans="1:27" x14ac:dyDescent="0.35">
      <c r="A22" s="12"/>
      <c r="B22" s="50" t="s">
        <v>365</v>
      </c>
      <c r="C22" s="66"/>
      <c r="D22" s="50"/>
      <c r="E22" s="50"/>
      <c r="F22" s="66"/>
      <c r="G22" s="66"/>
      <c r="H22" s="50"/>
      <c r="I22" s="81"/>
      <c r="J22" s="12"/>
      <c r="K22" s="50" t="s">
        <v>210</v>
      </c>
      <c r="L22" s="67"/>
      <c r="M22" s="81"/>
      <c r="N22" s="50"/>
      <c r="O22" s="66"/>
      <c r="P22" s="67"/>
      <c r="Q22" s="81"/>
      <c r="R22" s="81"/>
      <c r="U22" s="10"/>
      <c r="V22" s="10"/>
      <c r="W22" s="10"/>
    </row>
    <row r="23" spans="1:27" x14ac:dyDescent="0.35">
      <c r="A23" s="12"/>
      <c r="B23" s="50" t="s">
        <v>330</v>
      </c>
      <c r="C23" s="66"/>
      <c r="D23" s="50"/>
      <c r="E23" s="50"/>
      <c r="F23" s="66"/>
      <c r="G23" s="66"/>
      <c r="H23" s="50"/>
      <c r="I23" s="81"/>
      <c r="J23" s="12"/>
      <c r="K23" s="50" t="s">
        <v>211</v>
      </c>
      <c r="L23" s="67"/>
      <c r="M23" s="81"/>
      <c r="N23" s="50"/>
      <c r="O23" s="66"/>
      <c r="P23" s="67"/>
      <c r="Q23" s="81"/>
      <c r="R23" s="81"/>
      <c r="T23" s="125" t="s">
        <v>142</v>
      </c>
    </row>
    <row r="24" spans="1:27" ht="14.5" customHeight="1" x14ac:dyDescent="0.35">
      <c r="A24" s="12"/>
      <c r="B24" s="50" t="s">
        <v>366</v>
      </c>
      <c r="C24" s="66"/>
      <c r="D24" s="50"/>
      <c r="E24" s="50"/>
      <c r="F24" s="66"/>
      <c r="G24" s="66"/>
      <c r="H24" s="50"/>
      <c r="I24" s="81"/>
      <c r="J24" s="12"/>
      <c r="K24" s="50" t="s">
        <v>125</v>
      </c>
      <c r="L24" s="67"/>
      <c r="M24" s="81"/>
      <c r="N24" s="50"/>
      <c r="O24" s="66"/>
      <c r="P24" s="67"/>
      <c r="Q24" s="81"/>
      <c r="R24" s="81"/>
      <c r="T24" s="30" t="s">
        <v>362</v>
      </c>
    </row>
    <row r="25" spans="1:27" x14ac:dyDescent="0.35">
      <c r="A25" s="12"/>
      <c r="B25" s="50" t="s">
        <v>306</v>
      </c>
      <c r="C25" s="66"/>
      <c r="D25" s="50"/>
      <c r="E25" s="50"/>
      <c r="F25" s="66"/>
      <c r="G25" s="66"/>
      <c r="H25" s="50"/>
      <c r="I25" s="81"/>
      <c r="J25" s="12"/>
      <c r="K25" s="201" t="s">
        <v>326</v>
      </c>
      <c r="L25" s="202"/>
      <c r="M25" s="81"/>
      <c r="N25" s="50"/>
      <c r="O25" s="66"/>
      <c r="P25" s="67"/>
      <c r="Q25" s="81"/>
      <c r="R25" s="81"/>
      <c r="T25" s="24" t="s">
        <v>363</v>
      </c>
    </row>
    <row r="26" spans="1:27" x14ac:dyDescent="0.35">
      <c r="A26" s="12"/>
      <c r="B26" s="50" t="s">
        <v>367</v>
      </c>
      <c r="C26" s="66"/>
      <c r="D26" s="50"/>
      <c r="E26" s="50"/>
      <c r="F26" s="66"/>
      <c r="G26" s="66"/>
      <c r="H26" s="50"/>
      <c r="I26" s="81"/>
      <c r="J26" s="12"/>
      <c r="K26" s="61" t="s">
        <v>401</v>
      </c>
      <c r="L26" s="59"/>
      <c r="M26" s="14"/>
      <c r="Q26" s="50"/>
      <c r="R26" s="81"/>
      <c r="T26" s="24" t="s">
        <v>127</v>
      </c>
    </row>
    <row r="27" spans="1:27" x14ac:dyDescent="0.35">
      <c r="A27" s="81"/>
      <c r="B27" s="50" t="s">
        <v>368</v>
      </c>
      <c r="C27" s="66"/>
      <c r="D27" s="50"/>
      <c r="E27" s="50"/>
      <c r="F27" s="66"/>
      <c r="G27" s="66"/>
      <c r="H27" s="50"/>
      <c r="I27" s="81"/>
      <c r="J27" s="12"/>
      <c r="K27" s="50" t="s">
        <v>402</v>
      </c>
      <c r="L27" s="67"/>
      <c r="M27" s="81"/>
      <c r="N27" s="50"/>
      <c r="O27" s="66"/>
      <c r="P27" s="67"/>
      <c r="Q27" s="81"/>
      <c r="R27" s="81"/>
      <c r="T27" s="24" t="s">
        <v>129</v>
      </c>
    </row>
    <row r="28" spans="1:27" ht="18.5" x14ac:dyDescent="0.35">
      <c r="A28" s="81"/>
      <c r="B28" s="14" t="s">
        <v>369</v>
      </c>
      <c r="D28" s="14"/>
      <c r="E28" s="14"/>
      <c r="H28" s="14"/>
      <c r="I28" s="65"/>
      <c r="J28" s="12"/>
      <c r="K28" s="50" t="s">
        <v>212</v>
      </c>
      <c r="L28" s="67"/>
      <c r="M28" s="100"/>
      <c r="N28" s="101"/>
      <c r="O28" s="102"/>
      <c r="P28" s="103"/>
      <c r="Q28" s="100"/>
      <c r="R28" s="100"/>
      <c r="T28" s="24" t="s">
        <v>128</v>
      </c>
    </row>
    <row r="29" spans="1:27" x14ac:dyDescent="0.35">
      <c r="A29" s="81"/>
      <c r="B29" s="82" t="s">
        <v>364</v>
      </c>
      <c r="C29" s="67"/>
      <c r="D29" s="81"/>
      <c r="E29" s="50"/>
      <c r="F29" s="66"/>
      <c r="G29" s="67"/>
      <c r="H29" s="81"/>
      <c r="I29" s="67"/>
      <c r="J29" s="12"/>
      <c r="K29" s="82" t="s">
        <v>213</v>
      </c>
      <c r="L29" s="67"/>
      <c r="M29" s="81"/>
      <c r="N29" s="50"/>
      <c r="O29" s="66"/>
      <c r="P29" s="67"/>
      <c r="Q29" s="81"/>
      <c r="R29" s="81"/>
      <c r="T29" s="6"/>
    </row>
    <row r="30" spans="1:27" x14ac:dyDescent="0.35">
      <c r="A30" s="12"/>
      <c r="B30" s="14" t="s">
        <v>196</v>
      </c>
      <c r="C30" s="23"/>
      <c r="D30" s="65"/>
      <c r="E30" s="14"/>
      <c r="F30" s="13"/>
      <c r="G30" s="23"/>
      <c r="H30" s="65"/>
      <c r="I30" s="23"/>
      <c r="J30" s="12"/>
      <c r="K30" s="82" t="s">
        <v>126</v>
      </c>
      <c r="L30" s="67"/>
      <c r="M30" s="81"/>
      <c r="N30" s="50"/>
      <c r="O30" s="66"/>
      <c r="P30" s="67"/>
      <c r="Q30" s="81"/>
      <c r="R30" s="81"/>
      <c r="T30" s="30" t="s">
        <v>143</v>
      </c>
    </row>
    <row r="31" spans="1:27" x14ac:dyDescent="0.35">
      <c r="A31" s="12"/>
      <c r="B31" s="50" t="s">
        <v>121</v>
      </c>
      <c r="C31" s="67"/>
      <c r="D31" s="81"/>
      <c r="E31" s="50"/>
      <c r="F31" s="66"/>
      <c r="G31" s="67"/>
      <c r="H31" s="81"/>
      <c r="I31" s="67"/>
      <c r="J31" s="48"/>
      <c r="K31" s="86" t="s">
        <v>214</v>
      </c>
      <c r="L31" s="23"/>
      <c r="M31" s="14"/>
      <c r="N31" s="14"/>
      <c r="O31" s="13"/>
      <c r="P31" s="13"/>
      <c r="Q31" s="14"/>
      <c r="R31" s="65"/>
      <c r="T31" s="24" t="s">
        <v>130</v>
      </c>
    </row>
    <row r="32" spans="1:27" x14ac:dyDescent="0.35">
      <c r="A32" s="12"/>
      <c r="B32" s="50" t="s">
        <v>114</v>
      </c>
      <c r="C32" s="67"/>
      <c r="D32" s="81"/>
      <c r="E32" s="50"/>
      <c r="F32" s="66"/>
      <c r="G32" s="67"/>
      <c r="H32" s="81"/>
      <c r="I32" s="67"/>
      <c r="J32" s="48"/>
      <c r="K32" s="184" t="s">
        <v>327</v>
      </c>
      <c r="L32" s="185"/>
      <c r="M32" s="39"/>
      <c r="N32" s="39"/>
      <c r="O32" s="55"/>
      <c r="P32" s="55"/>
      <c r="Q32" s="39"/>
      <c r="R32" s="104"/>
      <c r="T32" s="24" t="s">
        <v>131</v>
      </c>
    </row>
    <row r="33" spans="1:20" x14ac:dyDescent="0.35">
      <c r="A33" s="12"/>
      <c r="B33" s="50" t="s">
        <v>1</v>
      </c>
      <c r="C33" s="67"/>
      <c r="D33" s="81"/>
      <c r="E33" s="50"/>
      <c r="F33" s="66"/>
      <c r="G33" s="67"/>
      <c r="H33" s="81"/>
      <c r="I33" s="67"/>
      <c r="J33" s="48"/>
      <c r="K33" s="186"/>
      <c r="L33" s="187"/>
      <c r="M33" s="14"/>
      <c r="N33" s="14"/>
      <c r="O33" s="13"/>
      <c r="P33" s="13"/>
      <c r="Q33" s="14"/>
      <c r="R33" s="65"/>
      <c r="T33" s="6" t="s">
        <v>132</v>
      </c>
    </row>
    <row r="34" spans="1:20" x14ac:dyDescent="0.35">
      <c r="A34" s="12"/>
      <c r="B34" s="14" t="s">
        <v>115</v>
      </c>
      <c r="C34" s="46"/>
      <c r="D34" s="48"/>
      <c r="E34" s="12"/>
      <c r="G34" s="46"/>
      <c r="H34" s="48"/>
      <c r="I34" s="46"/>
      <c r="J34" s="65"/>
      <c r="K34" s="14" t="s">
        <v>328</v>
      </c>
      <c r="L34" s="23"/>
      <c r="M34" s="14"/>
      <c r="N34" s="14"/>
      <c r="Q34" s="14"/>
      <c r="R34" s="65"/>
      <c r="T34" s="6" t="s">
        <v>132</v>
      </c>
    </row>
    <row r="35" spans="1:20" x14ac:dyDescent="0.35">
      <c r="A35" s="81"/>
      <c r="B35" s="50" t="s">
        <v>202</v>
      </c>
      <c r="C35" s="67"/>
      <c r="D35" s="81"/>
      <c r="E35" s="50"/>
      <c r="F35" s="66"/>
      <c r="G35" s="67"/>
      <c r="H35" s="81"/>
      <c r="I35" s="67"/>
      <c r="J35" s="155"/>
      <c r="K35" s="79" t="s">
        <v>215</v>
      </c>
      <c r="L35" s="77"/>
      <c r="M35" s="78"/>
      <c r="N35" s="79"/>
      <c r="O35" s="80"/>
      <c r="P35" s="77"/>
      <c r="Q35" s="81"/>
      <c r="R35" s="81"/>
      <c r="T35" s="6" t="s">
        <v>133</v>
      </c>
    </row>
    <row r="36" spans="1:20" x14ac:dyDescent="0.35">
      <c r="A36" s="81"/>
      <c r="B36" s="50" t="s">
        <v>307</v>
      </c>
      <c r="C36" s="67"/>
      <c r="D36" s="81"/>
      <c r="E36" s="50"/>
      <c r="F36" s="66"/>
      <c r="G36" s="67"/>
      <c r="H36" s="81"/>
      <c r="I36" s="67"/>
      <c r="J36" s="81"/>
      <c r="K36" s="79" t="s">
        <v>310</v>
      </c>
      <c r="L36" s="77"/>
      <c r="M36" s="78"/>
      <c r="N36" s="79"/>
      <c r="O36" s="80"/>
      <c r="P36" s="77"/>
      <c r="Q36" s="81"/>
      <c r="R36" s="81"/>
      <c r="T36" s="6" t="s">
        <v>134</v>
      </c>
    </row>
    <row r="37" spans="1:20" x14ac:dyDescent="0.35">
      <c r="A37" s="81"/>
      <c r="B37" s="82" t="s">
        <v>159</v>
      </c>
      <c r="C37" s="67"/>
      <c r="D37" s="81"/>
      <c r="E37" s="50"/>
      <c r="F37" s="66"/>
      <c r="G37" s="67"/>
      <c r="H37" s="81"/>
      <c r="I37" s="67"/>
      <c r="J37" s="82" t="s">
        <v>225</v>
      </c>
      <c r="K37" s="66"/>
      <c r="L37" s="67"/>
      <c r="M37" s="81"/>
      <c r="N37" s="50"/>
      <c r="O37" s="66"/>
      <c r="P37" s="67"/>
      <c r="Q37" s="81"/>
      <c r="R37" s="81"/>
      <c r="T37" s="6" t="s">
        <v>136</v>
      </c>
    </row>
    <row r="38" spans="1:20" x14ac:dyDescent="0.35">
      <c r="A38" s="81"/>
      <c r="B38" s="14" t="s">
        <v>198</v>
      </c>
      <c r="C38" s="23"/>
      <c r="D38" s="65"/>
      <c r="E38" s="14"/>
      <c r="F38" s="13"/>
      <c r="G38" s="23"/>
      <c r="H38" s="65"/>
      <c r="I38" s="23"/>
      <c r="J38" s="12"/>
      <c r="K38" s="50" t="s">
        <v>288</v>
      </c>
      <c r="L38" s="67"/>
      <c r="M38" s="81"/>
      <c r="N38" s="50"/>
      <c r="O38" s="66"/>
      <c r="P38" s="67"/>
      <c r="Q38" s="81"/>
      <c r="R38" s="81"/>
      <c r="T38" s="24" t="s">
        <v>135</v>
      </c>
    </row>
    <row r="39" spans="1:20" x14ac:dyDescent="0.35">
      <c r="A39" s="81"/>
      <c r="B39" s="50" t="s">
        <v>199</v>
      </c>
      <c r="C39" s="67"/>
      <c r="D39" s="81"/>
      <c r="E39" s="50"/>
      <c r="F39" s="66"/>
      <c r="G39" s="67"/>
      <c r="H39" s="81"/>
      <c r="I39" s="67"/>
      <c r="J39" s="12"/>
      <c r="K39" s="50" t="s">
        <v>289</v>
      </c>
      <c r="L39" s="67"/>
      <c r="M39" s="81"/>
      <c r="N39" s="50"/>
      <c r="O39" s="66"/>
      <c r="P39" s="67"/>
      <c r="Q39" s="81"/>
      <c r="R39" s="81"/>
    </row>
    <row r="40" spans="1:20" x14ac:dyDescent="0.35">
      <c r="A40" s="12"/>
      <c r="B40" s="50" t="s">
        <v>116</v>
      </c>
      <c r="C40" s="67"/>
      <c r="D40" s="81"/>
      <c r="E40" s="50"/>
      <c r="F40" s="66"/>
      <c r="G40" s="67"/>
      <c r="H40" s="81"/>
      <c r="I40" s="67"/>
      <c r="J40" s="12"/>
      <c r="K40" s="50" t="s">
        <v>408</v>
      </c>
      <c r="L40" s="67"/>
      <c r="M40" s="81"/>
      <c r="N40" s="50"/>
      <c r="O40" s="66"/>
      <c r="P40" s="67"/>
      <c r="Q40" s="81"/>
      <c r="R40" s="81"/>
      <c r="T40" s="110" t="s">
        <v>203</v>
      </c>
    </row>
    <row r="41" spans="1:20" x14ac:dyDescent="0.35">
      <c r="A41" s="12"/>
      <c r="B41" s="50" t="s">
        <v>118</v>
      </c>
      <c r="C41" s="67"/>
      <c r="D41" s="81"/>
      <c r="E41" s="50"/>
      <c r="F41" s="66"/>
      <c r="G41" s="67"/>
      <c r="H41" s="81"/>
      <c r="I41" s="67"/>
      <c r="J41" s="12"/>
      <c r="K41" s="14" t="s">
        <v>409</v>
      </c>
      <c r="L41" s="46"/>
      <c r="M41" s="48"/>
      <c r="N41" s="12"/>
      <c r="P41" s="46"/>
      <c r="Q41" s="48"/>
      <c r="R41" s="48"/>
      <c r="T41" s="63" t="s">
        <v>204</v>
      </c>
    </row>
    <row r="42" spans="1:20" x14ac:dyDescent="0.35">
      <c r="A42" s="12"/>
      <c r="B42" s="50" t="s">
        <v>200</v>
      </c>
      <c r="C42" s="67"/>
      <c r="D42" s="81"/>
      <c r="E42" s="50"/>
      <c r="F42" s="66"/>
      <c r="G42" s="67"/>
      <c r="H42" s="81"/>
      <c r="I42" s="67"/>
      <c r="J42" s="155"/>
      <c r="K42" s="79" t="s">
        <v>290</v>
      </c>
      <c r="L42" s="77"/>
      <c r="M42" s="78"/>
      <c r="N42" s="79"/>
      <c r="O42" s="80"/>
      <c r="P42" s="77"/>
      <c r="Q42" s="81"/>
      <c r="R42" s="81"/>
      <c r="T42" s="63" t="s">
        <v>205</v>
      </c>
    </row>
    <row r="43" spans="1:20" x14ac:dyDescent="0.35">
      <c r="A43" s="48"/>
      <c r="B43" s="49" t="s">
        <v>329</v>
      </c>
      <c r="C43" s="29"/>
      <c r="D43" s="50"/>
      <c r="E43" s="50"/>
      <c r="H43" s="50"/>
      <c r="I43" s="81"/>
      <c r="J43" s="81"/>
      <c r="K43" s="50" t="s">
        <v>311</v>
      </c>
      <c r="L43" s="67"/>
      <c r="M43" s="81"/>
      <c r="N43" s="50"/>
      <c r="O43" s="66"/>
      <c r="P43" s="67"/>
      <c r="Q43" s="81"/>
      <c r="R43" s="81"/>
      <c r="T43" s="64" t="s">
        <v>206</v>
      </c>
    </row>
    <row r="44" spans="1:20" x14ac:dyDescent="0.35">
      <c r="A44" s="12"/>
      <c r="B44" s="50" t="s">
        <v>119</v>
      </c>
      <c r="C44" s="67"/>
      <c r="D44" s="81"/>
      <c r="E44" s="50"/>
      <c r="F44" s="66"/>
      <c r="G44" s="67"/>
      <c r="H44" s="81"/>
      <c r="I44" s="67"/>
      <c r="J44" s="12"/>
      <c r="K44" s="50" t="s">
        <v>291</v>
      </c>
      <c r="L44" s="46"/>
      <c r="M44" s="48"/>
      <c r="N44" s="12"/>
      <c r="P44" s="46"/>
      <c r="Q44" s="48"/>
      <c r="R44" s="48"/>
      <c r="T44" s="3"/>
    </row>
    <row r="45" spans="1:20" x14ac:dyDescent="0.35">
      <c r="A45" s="12"/>
      <c r="B45" s="82" t="s">
        <v>120</v>
      </c>
      <c r="C45" s="67"/>
      <c r="D45" s="81"/>
      <c r="E45" s="50"/>
      <c r="F45" s="66"/>
      <c r="G45" s="67"/>
      <c r="H45" s="81"/>
      <c r="I45" s="67"/>
      <c r="J45" s="155"/>
      <c r="K45" s="83" t="s">
        <v>292</v>
      </c>
      <c r="L45" s="77"/>
      <c r="M45" s="78"/>
      <c r="N45" s="79"/>
      <c r="O45" s="80"/>
      <c r="P45" s="77"/>
      <c r="Q45" s="81"/>
      <c r="R45" s="81"/>
    </row>
    <row r="46" spans="1:20" x14ac:dyDescent="0.35">
      <c r="A46" s="48"/>
      <c r="B46" s="50" t="s">
        <v>398</v>
      </c>
      <c r="C46" s="66"/>
      <c r="D46" s="50"/>
      <c r="E46" s="50"/>
      <c r="F46" s="66"/>
      <c r="G46" s="66"/>
      <c r="H46" s="50"/>
      <c r="I46" s="81"/>
      <c r="J46" s="81"/>
      <c r="K46" t="s">
        <v>312</v>
      </c>
      <c r="L46" s="46"/>
      <c r="M46" s="48"/>
      <c r="N46" s="12"/>
      <c r="P46" s="46"/>
      <c r="Q46" s="48"/>
      <c r="R46" s="48"/>
    </row>
    <row r="47" spans="1:20" x14ac:dyDescent="0.35">
      <c r="A47" s="65"/>
      <c r="B47" s="12" t="s">
        <v>396</v>
      </c>
      <c r="D47" s="14"/>
      <c r="E47" s="14"/>
      <c r="H47" s="14"/>
      <c r="I47" s="65"/>
      <c r="J47" s="155"/>
      <c r="K47" s="83" t="s">
        <v>293</v>
      </c>
      <c r="L47" s="77"/>
      <c r="M47" s="78"/>
      <c r="N47" s="80"/>
      <c r="O47" s="80"/>
      <c r="P47" s="77"/>
      <c r="Q47" s="81"/>
      <c r="R47" s="81"/>
    </row>
    <row r="48" spans="1:20" x14ac:dyDescent="0.35">
      <c r="A48" s="155"/>
      <c r="B48" s="79" t="s">
        <v>201</v>
      </c>
      <c r="C48" s="77"/>
      <c r="D48" s="78"/>
      <c r="E48" s="79"/>
      <c r="F48" s="80"/>
      <c r="G48" s="77"/>
      <c r="H48" s="81"/>
      <c r="I48" s="67"/>
      <c r="J48" s="81"/>
      <c r="K48" s="50" t="s">
        <v>313</v>
      </c>
      <c r="L48" s="67"/>
      <c r="M48" s="81"/>
      <c r="N48" s="66"/>
      <c r="O48" s="66"/>
      <c r="P48" s="67"/>
      <c r="Q48" s="81"/>
      <c r="R48" s="81"/>
    </row>
    <row r="49" spans="1:18" x14ac:dyDescent="0.35">
      <c r="A49" s="81"/>
      <c r="B49" s="79" t="s">
        <v>308</v>
      </c>
      <c r="C49" s="77"/>
      <c r="D49" s="78"/>
      <c r="E49" s="79"/>
      <c r="F49" s="80"/>
      <c r="G49" s="77"/>
      <c r="H49" s="81"/>
      <c r="I49" s="67"/>
      <c r="J49" s="81"/>
      <c r="K49" s="66" t="s">
        <v>314</v>
      </c>
      <c r="L49" s="67"/>
      <c r="M49" s="81"/>
      <c r="N49" s="66"/>
      <c r="O49" s="66"/>
      <c r="P49" s="67"/>
      <c r="Q49" s="81"/>
      <c r="R49" s="81"/>
    </row>
    <row r="50" spans="1:18" x14ac:dyDescent="0.35">
      <c r="A50" s="81"/>
      <c r="B50" s="82" t="s">
        <v>160</v>
      </c>
      <c r="C50" s="67"/>
      <c r="D50" s="81"/>
      <c r="E50" s="50"/>
      <c r="F50" s="66"/>
      <c r="G50" s="67"/>
      <c r="H50" s="81"/>
      <c r="I50" s="67"/>
      <c r="J50" s="65"/>
      <c r="K50" t="s">
        <v>165</v>
      </c>
      <c r="L50" s="46"/>
      <c r="M50" s="48"/>
      <c r="P50" s="46"/>
      <c r="Q50" s="48"/>
      <c r="R50" s="48"/>
    </row>
    <row r="51" spans="1:18" x14ac:dyDescent="0.35">
      <c r="A51" s="12"/>
      <c r="B51" s="14" t="s">
        <v>207</v>
      </c>
      <c r="C51" s="23"/>
      <c r="D51" s="65"/>
      <c r="E51" s="14"/>
      <c r="F51" s="13"/>
      <c r="G51" s="23"/>
      <c r="H51" s="65"/>
      <c r="I51" s="23"/>
      <c r="J51" s="155"/>
      <c r="K51" s="82" t="s">
        <v>315</v>
      </c>
      <c r="L51" s="67"/>
      <c r="M51" s="81"/>
      <c r="N51" s="66"/>
      <c r="O51" s="66"/>
      <c r="P51" s="67"/>
      <c r="Q51" s="81"/>
      <c r="R51" s="81"/>
    </row>
    <row r="52" spans="1:18" x14ac:dyDescent="0.35">
      <c r="A52" s="12"/>
      <c r="B52" s="50" t="s">
        <v>123</v>
      </c>
      <c r="C52" s="67"/>
      <c r="D52" s="81"/>
      <c r="E52" s="50"/>
      <c r="F52" s="66"/>
      <c r="G52" s="67"/>
      <c r="H52" s="81"/>
      <c r="I52" s="67"/>
      <c r="J52" s="81"/>
      <c r="K52" s="50" t="s">
        <v>316</v>
      </c>
      <c r="L52" s="67"/>
      <c r="M52" s="81"/>
      <c r="N52" s="66"/>
      <c r="O52" s="66"/>
      <c r="P52" s="67"/>
      <c r="Q52" s="81"/>
      <c r="R52" s="81"/>
    </row>
    <row r="53" spans="1:18" x14ac:dyDescent="0.35">
      <c r="A53" s="65"/>
      <c r="B53" s="50" t="s">
        <v>224</v>
      </c>
      <c r="C53" s="67"/>
      <c r="D53" s="81"/>
      <c r="E53" s="50"/>
      <c r="F53" s="66"/>
      <c r="G53" s="67"/>
      <c r="H53" s="81"/>
      <c r="I53" s="67"/>
      <c r="J53" s="81"/>
      <c r="K53" s="13"/>
      <c r="L53" s="13"/>
      <c r="M53" s="50"/>
      <c r="N53" s="50"/>
      <c r="O53" s="13"/>
      <c r="P53" s="13"/>
      <c r="Q53" s="50"/>
      <c r="R53" s="81"/>
    </row>
  </sheetData>
  <mergeCells count="15">
    <mergeCell ref="K32:L33"/>
    <mergeCell ref="J1:R1"/>
    <mergeCell ref="A1:I1"/>
    <mergeCell ref="B9:C9"/>
    <mergeCell ref="K2:L2"/>
    <mergeCell ref="E9:G9"/>
    <mergeCell ref="N2:P2"/>
    <mergeCell ref="K25:L25"/>
    <mergeCell ref="H2:I2"/>
    <mergeCell ref="H3:I3"/>
    <mergeCell ref="H4:I4"/>
    <mergeCell ref="H5:I5"/>
    <mergeCell ref="H6:I6"/>
    <mergeCell ref="H7:I7"/>
    <mergeCell ref="H8:I8"/>
  </mergeCells>
  <pageMargins left="0.7" right="0.7" top="0.75" bottom="0.75" header="0.3" footer="0.3"/>
  <pageSetup scale="80" orientation="portrait" r:id="rId1"/>
  <colBreaks count="3" manualBreakCount="3">
    <brk id="9" max="52" man="1"/>
    <brk id="18" max="38" man="1"/>
    <brk id="28" max="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3042-679E-460C-B304-245BC48C3BA2}">
  <dimension ref="A1:T49"/>
  <sheetViews>
    <sheetView view="pageLayout" zoomScaleNormal="100" zoomScaleSheetLayoutView="100" workbookViewId="0">
      <selection sqref="A1:H1"/>
    </sheetView>
  </sheetViews>
  <sheetFormatPr defaultRowHeight="14.5" x14ac:dyDescent="0.35"/>
  <cols>
    <col min="1" max="1" width="3.6328125" customWidth="1"/>
    <col min="2" max="2" width="12.6328125" customWidth="1"/>
    <col min="3" max="3" width="24.7265625" customWidth="1"/>
    <col min="8" max="8" width="26.81640625" customWidth="1"/>
    <col min="9" max="9" width="10.6328125" customWidth="1"/>
    <col min="10" max="10" width="3.6328125" customWidth="1"/>
    <col min="11" max="11" width="15.6328125" customWidth="1"/>
    <col min="15" max="15" width="12.6328125" customWidth="1"/>
    <col min="16" max="16" width="23.6328125" customWidth="1"/>
    <col min="17" max="17" width="12.6328125" customWidth="1"/>
    <col min="18" max="18" width="15.6328125" customWidth="1"/>
    <col min="19" max="20" width="20.6328125" customWidth="1"/>
    <col min="21" max="22" width="3.6328125" customWidth="1"/>
    <col min="26" max="28" width="15.6328125" customWidth="1"/>
  </cols>
  <sheetData>
    <row r="1" spans="1:20" ht="19" thickBot="1" x14ac:dyDescent="0.5">
      <c r="A1" s="173" t="s">
        <v>413</v>
      </c>
      <c r="B1" s="174"/>
      <c r="C1" s="174"/>
      <c r="D1" s="174"/>
      <c r="E1" s="174"/>
      <c r="F1" s="174"/>
      <c r="G1" s="174"/>
      <c r="H1" s="175"/>
      <c r="I1" s="121"/>
      <c r="J1" s="1" t="s">
        <v>301</v>
      </c>
      <c r="L1" s="1" t="s">
        <v>302</v>
      </c>
      <c r="N1" s="1" t="s">
        <v>295</v>
      </c>
      <c r="P1" s="1" t="s">
        <v>338</v>
      </c>
      <c r="Q1" s="1" t="s">
        <v>333</v>
      </c>
      <c r="R1" s="1" t="s">
        <v>350</v>
      </c>
      <c r="T1" s="1"/>
    </row>
    <row r="2" spans="1:20" ht="14.5" customHeight="1" x14ac:dyDescent="0.45">
      <c r="A2" s="69" t="s">
        <v>110</v>
      </c>
      <c r="C2" s="112" t="str">
        <f>'Life Cycle Data Worksheet'!C2</f>
        <v>Muncie Family Physicians</v>
      </c>
      <c r="D2" s="2"/>
      <c r="E2" s="2"/>
      <c r="G2" s="62" t="s">
        <v>4</v>
      </c>
      <c r="H2" s="118">
        <f>'Life Cycle Data Worksheet'!H2</f>
        <v>46209</v>
      </c>
      <c r="I2" s="112"/>
      <c r="J2" t="s">
        <v>361</v>
      </c>
      <c r="L2" t="s">
        <v>361</v>
      </c>
      <c r="N2" t="s">
        <v>361</v>
      </c>
      <c r="P2" t="s">
        <v>361</v>
      </c>
      <c r="Q2" t="s">
        <v>361</v>
      </c>
    </row>
    <row r="3" spans="1:20" ht="14.5" customHeight="1" x14ac:dyDescent="0.35">
      <c r="A3" s="69" t="s">
        <v>6</v>
      </c>
      <c r="C3" s="112" t="str">
        <f>'Life Cycle Data Worksheet'!C3</f>
        <v>(from Initial Information)</v>
      </c>
      <c r="G3" s="57" t="s">
        <v>194</v>
      </c>
      <c r="H3" s="118" t="str">
        <f>'Life Cycle Data Worksheet'!H3</f>
        <v>(Must be Requested)</v>
      </c>
      <c r="I3" s="112"/>
      <c r="J3" t="s">
        <v>335</v>
      </c>
      <c r="L3" t="s">
        <v>342</v>
      </c>
      <c r="N3" t="s">
        <v>148</v>
      </c>
      <c r="P3" t="s">
        <v>346</v>
      </c>
      <c r="Q3" t="s">
        <v>336</v>
      </c>
      <c r="R3" t="s">
        <v>348</v>
      </c>
    </row>
    <row r="4" spans="1:20" ht="14.5" customHeight="1" x14ac:dyDescent="0.35">
      <c r="A4" s="12"/>
      <c r="C4" s="112" t="str">
        <f>'Life Cycle Data Worksheet'!C4</f>
        <v>(from Initial Information)</v>
      </c>
      <c r="H4" s="71"/>
      <c r="I4" s="25"/>
      <c r="J4" s="6" t="s">
        <v>334</v>
      </c>
      <c r="N4" t="s">
        <v>296</v>
      </c>
      <c r="P4" t="s">
        <v>158</v>
      </c>
      <c r="Q4" t="s">
        <v>339</v>
      </c>
      <c r="R4" t="s">
        <v>349</v>
      </c>
    </row>
    <row r="5" spans="1:20" ht="14.5" customHeight="1" x14ac:dyDescent="0.35">
      <c r="A5" s="12"/>
      <c r="H5" s="46"/>
      <c r="I5" s="122"/>
      <c r="N5" t="s">
        <v>149</v>
      </c>
      <c r="P5" t="s">
        <v>331</v>
      </c>
      <c r="Q5" t="s">
        <v>412</v>
      </c>
    </row>
    <row r="6" spans="1:20" ht="14.5" customHeight="1" x14ac:dyDescent="0.35">
      <c r="A6" s="12"/>
      <c r="H6" s="46"/>
      <c r="I6" s="122"/>
      <c r="N6" s="6" t="s">
        <v>150</v>
      </c>
      <c r="P6" t="s">
        <v>332</v>
      </c>
      <c r="Q6" t="s">
        <v>343</v>
      </c>
    </row>
    <row r="7" spans="1:20" ht="18.5" x14ac:dyDescent="0.45">
      <c r="A7" s="176" t="s">
        <v>414</v>
      </c>
      <c r="B7" s="177"/>
      <c r="C7" s="177"/>
      <c r="D7" s="177"/>
      <c r="E7" s="177"/>
      <c r="F7" s="177"/>
      <c r="G7" s="177"/>
      <c r="H7" s="178"/>
      <c r="I7" s="112"/>
      <c r="N7" s="111" t="s">
        <v>340</v>
      </c>
      <c r="P7" t="s">
        <v>151</v>
      </c>
      <c r="Q7" t="s">
        <v>344</v>
      </c>
      <c r="S7" s="1"/>
    </row>
    <row r="8" spans="1:20" x14ac:dyDescent="0.35">
      <c r="A8" s="69" t="s">
        <v>271</v>
      </c>
      <c r="C8" s="209" t="s">
        <v>333</v>
      </c>
      <c r="D8" s="210"/>
      <c r="E8" s="210"/>
      <c r="F8" s="210"/>
      <c r="G8" s="210"/>
      <c r="H8" s="211"/>
      <c r="I8" s="112"/>
      <c r="N8" s="111" t="s">
        <v>341</v>
      </c>
      <c r="P8" t="s">
        <v>337</v>
      </c>
    </row>
    <row r="9" spans="1:20" ht="18.5" x14ac:dyDescent="0.45">
      <c r="A9" s="45"/>
      <c r="B9" s="22" t="str">
        <f>'Life Cycle Data Worksheet'!B25</f>
        <v>xx,xxx</v>
      </c>
      <c r="C9" s="163"/>
      <c r="D9" s="169" t="s">
        <v>158</v>
      </c>
      <c r="E9" s="170"/>
      <c r="F9" s="161" t="s">
        <v>416</v>
      </c>
      <c r="G9" s="162"/>
      <c r="H9" s="164" t="s">
        <v>417</v>
      </c>
      <c r="I9" s="121"/>
      <c r="N9" t="s">
        <v>153</v>
      </c>
      <c r="P9" t="s">
        <v>152</v>
      </c>
    </row>
    <row r="10" spans="1:20" x14ac:dyDescent="0.35">
      <c r="A10" s="69"/>
      <c r="C10" s="158" t="s">
        <v>63</v>
      </c>
      <c r="D10" s="160" t="s">
        <v>420</v>
      </c>
      <c r="E10" t="s">
        <v>421</v>
      </c>
      <c r="F10" s="160" t="s">
        <v>420</v>
      </c>
      <c r="G10" t="s">
        <v>421</v>
      </c>
      <c r="H10" s="166" t="s">
        <v>423</v>
      </c>
      <c r="N10" t="s">
        <v>154</v>
      </c>
    </row>
    <row r="11" spans="1:20" x14ac:dyDescent="0.35">
      <c r="A11" s="69"/>
      <c r="C11" s="158" t="s">
        <v>65</v>
      </c>
      <c r="D11" s="165" t="s">
        <v>32</v>
      </c>
      <c r="E11" s="71"/>
      <c r="F11" s="160" t="s">
        <v>420</v>
      </c>
      <c r="G11" t="s">
        <v>418</v>
      </c>
      <c r="H11" s="166" t="s">
        <v>419</v>
      </c>
      <c r="N11" t="s">
        <v>155</v>
      </c>
    </row>
    <row r="12" spans="1:20" x14ac:dyDescent="0.35">
      <c r="A12" s="12"/>
      <c r="C12" s="159" t="s">
        <v>67</v>
      </c>
      <c r="D12" s="160" t="s">
        <v>420</v>
      </c>
      <c r="E12" s="13" t="s">
        <v>424</v>
      </c>
      <c r="F12" s="160" t="s">
        <v>420</v>
      </c>
      <c r="G12" s="13" t="s">
        <v>424</v>
      </c>
      <c r="H12" s="166" t="s">
        <v>425</v>
      </c>
    </row>
    <row r="13" spans="1:20" ht="18.5" x14ac:dyDescent="0.45">
      <c r="A13" s="176" t="s">
        <v>429</v>
      </c>
      <c r="B13" s="177"/>
      <c r="C13" s="177"/>
      <c r="D13" s="177"/>
      <c r="E13" s="177"/>
      <c r="F13" s="177"/>
      <c r="G13" s="177"/>
      <c r="H13" s="178"/>
    </row>
    <row r="14" spans="1:20" ht="14.5" customHeight="1" x14ac:dyDescent="0.35">
      <c r="A14" s="39"/>
      <c r="B14" s="128"/>
      <c r="C14" s="172" t="s">
        <v>430</v>
      </c>
      <c r="D14" s="172" t="s">
        <v>431</v>
      </c>
      <c r="E14" s="212" t="s">
        <v>422</v>
      </c>
      <c r="F14" s="212"/>
      <c r="G14" s="212"/>
      <c r="H14" s="171"/>
    </row>
    <row r="15" spans="1:20" ht="18.5" x14ac:dyDescent="0.45">
      <c r="A15" s="168" t="s">
        <v>426</v>
      </c>
      <c r="B15" s="131"/>
      <c r="C15" s="131"/>
      <c r="D15" s="131"/>
      <c r="E15" s="131"/>
      <c r="F15" s="131"/>
      <c r="G15" s="131"/>
      <c r="H15" s="132"/>
      <c r="I15" s="121"/>
      <c r="J15" s="1" t="s">
        <v>156</v>
      </c>
      <c r="M15" s="1" t="s">
        <v>303</v>
      </c>
      <c r="P15" s="1" t="s">
        <v>193</v>
      </c>
    </row>
    <row r="16" spans="1:20" ht="14.5" customHeight="1" x14ac:dyDescent="0.35">
      <c r="A16" s="167"/>
      <c r="B16" s="131"/>
      <c r="C16" s="131"/>
      <c r="E16" s="131"/>
      <c r="F16" s="131"/>
      <c r="G16" s="131"/>
      <c r="H16" s="132"/>
      <c r="J16" t="s">
        <v>361</v>
      </c>
      <c r="M16" t="s">
        <v>361</v>
      </c>
      <c r="P16" t="s">
        <v>361</v>
      </c>
    </row>
    <row r="17" spans="1:16" x14ac:dyDescent="0.35">
      <c r="A17" s="168" t="s">
        <v>427</v>
      </c>
      <c r="B17" s="131"/>
      <c r="C17" s="131"/>
      <c r="D17" s="131"/>
      <c r="E17" s="131"/>
      <c r="F17" s="131"/>
      <c r="G17" s="131"/>
      <c r="H17" s="132"/>
      <c r="J17" t="s">
        <v>157</v>
      </c>
      <c r="P17" t="s">
        <v>373</v>
      </c>
    </row>
    <row r="18" spans="1:16" x14ac:dyDescent="0.35">
      <c r="A18" s="167"/>
      <c r="H18" s="46"/>
      <c r="J18" s="73" t="s">
        <v>354</v>
      </c>
      <c r="P18" t="s">
        <v>51</v>
      </c>
    </row>
    <row r="19" spans="1:16" x14ac:dyDescent="0.35">
      <c r="A19" s="109" t="s">
        <v>428</v>
      </c>
      <c r="H19" s="46"/>
      <c r="J19" s="73" t="s">
        <v>355</v>
      </c>
      <c r="L19" s="4"/>
      <c r="P19" t="s">
        <v>52</v>
      </c>
    </row>
    <row r="20" spans="1:16" x14ac:dyDescent="0.35">
      <c r="A20" s="109"/>
      <c r="H20" s="46"/>
      <c r="J20" s="73" t="s">
        <v>356</v>
      </c>
      <c r="P20" t="s">
        <v>53</v>
      </c>
    </row>
    <row r="21" spans="1:16" ht="14.5" customHeight="1" x14ac:dyDescent="0.35">
      <c r="A21" s="109" t="s">
        <v>432</v>
      </c>
      <c r="H21" s="46"/>
      <c r="J21" s="73" t="s">
        <v>357</v>
      </c>
      <c r="L21" s="25"/>
      <c r="P21" t="s">
        <v>54</v>
      </c>
    </row>
    <row r="22" spans="1:16" x14ac:dyDescent="0.35">
      <c r="A22" s="12"/>
      <c r="H22" s="46"/>
      <c r="J22" s="73" t="s">
        <v>358</v>
      </c>
      <c r="L22" s="9"/>
      <c r="P22" t="s">
        <v>55</v>
      </c>
    </row>
    <row r="23" spans="1:16" ht="18.5" x14ac:dyDescent="0.45">
      <c r="A23" s="176" t="s">
        <v>433</v>
      </c>
      <c r="B23" s="177"/>
      <c r="C23" s="177"/>
      <c r="D23" s="177"/>
      <c r="E23" s="177"/>
      <c r="F23" s="177"/>
      <c r="G23" s="177"/>
      <c r="H23" s="178"/>
      <c r="J23" t="s">
        <v>159</v>
      </c>
      <c r="L23" s="22"/>
      <c r="M23" s="1" t="s">
        <v>374</v>
      </c>
      <c r="P23" t="s">
        <v>56</v>
      </c>
    </row>
    <row r="24" spans="1:16" x14ac:dyDescent="0.35">
      <c r="A24" s="12"/>
      <c r="H24" s="46"/>
      <c r="J24" t="s">
        <v>160</v>
      </c>
      <c r="M24" t="s">
        <v>376</v>
      </c>
      <c r="P24" t="s">
        <v>297</v>
      </c>
    </row>
    <row r="25" spans="1:16" x14ac:dyDescent="0.35">
      <c r="A25" s="12"/>
      <c r="H25" s="46"/>
      <c r="J25" t="s">
        <v>161</v>
      </c>
      <c r="M25" t="s">
        <v>375</v>
      </c>
      <c r="P25" t="s">
        <v>57</v>
      </c>
    </row>
    <row r="26" spans="1:16" ht="18.5" x14ac:dyDescent="0.45">
      <c r="A26" s="176" t="s">
        <v>179</v>
      </c>
      <c r="B26" s="177"/>
      <c r="C26" s="177"/>
      <c r="D26" s="177"/>
      <c r="E26" s="177"/>
      <c r="F26" s="177"/>
      <c r="G26" s="177"/>
      <c r="H26" s="178"/>
      <c r="J26" t="s">
        <v>162</v>
      </c>
      <c r="P26" t="s">
        <v>58</v>
      </c>
    </row>
    <row r="27" spans="1:16" ht="14.5" customHeight="1" x14ac:dyDescent="0.35">
      <c r="A27" s="12"/>
      <c r="C27" s="172" t="s">
        <v>430</v>
      </c>
      <c r="D27" s="172" t="s">
        <v>431</v>
      </c>
      <c r="E27" s="212" t="s">
        <v>422</v>
      </c>
      <c r="F27" s="212"/>
      <c r="G27" s="212"/>
      <c r="H27" s="46"/>
      <c r="J27" t="s">
        <v>166</v>
      </c>
      <c r="P27" t="s">
        <v>59</v>
      </c>
    </row>
    <row r="28" spans="1:16" x14ac:dyDescent="0.35">
      <c r="A28" s="12"/>
      <c r="H28" s="46"/>
      <c r="J28" t="s">
        <v>163</v>
      </c>
      <c r="P28" t="s">
        <v>60</v>
      </c>
    </row>
    <row r="29" spans="1:16" x14ac:dyDescent="0.35">
      <c r="A29" s="12"/>
      <c r="H29" s="46"/>
      <c r="J29" t="s">
        <v>164</v>
      </c>
    </row>
    <row r="30" spans="1:16" x14ac:dyDescent="0.35">
      <c r="A30" s="12"/>
      <c r="H30" s="46"/>
      <c r="J30" t="s">
        <v>165</v>
      </c>
    </row>
    <row r="31" spans="1:16" ht="18.5" x14ac:dyDescent="0.45">
      <c r="A31" s="176" t="s">
        <v>434</v>
      </c>
      <c r="B31" s="177"/>
      <c r="C31" s="177"/>
      <c r="D31" s="177"/>
      <c r="E31" s="177"/>
      <c r="F31" s="177"/>
      <c r="G31" s="177"/>
      <c r="H31" s="178"/>
    </row>
    <row r="32" spans="1:16" x14ac:dyDescent="0.35">
      <c r="A32" s="12"/>
      <c r="C32" s="172" t="s">
        <v>430</v>
      </c>
      <c r="D32" s="172" t="s">
        <v>431</v>
      </c>
      <c r="E32" s="212" t="s">
        <v>422</v>
      </c>
      <c r="F32" s="212"/>
      <c r="G32" s="212"/>
      <c r="H32" s="46"/>
      <c r="J32" s="1" t="s">
        <v>192</v>
      </c>
    </row>
    <row r="33" spans="1:10" x14ac:dyDescent="0.35">
      <c r="A33" s="12"/>
      <c r="H33" s="46"/>
      <c r="J33" t="s">
        <v>361</v>
      </c>
    </row>
    <row r="34" spans="1:10" x14ac:dyDescent="0.35">
      <c r="A34" s="58"/>
      <c r="B34" s="3"/>
      <c r="C34" s="3"/>
      <c r="D34" s="3"/>
      <c r="E34" s="3"/>
      <c r="F34" s="3"/>
      <c r="G34" s="3"/>
      <c r="H34" s="74"/>
      <c r="J34" s="24" t="s">
        <v>181</v>
      </c>
    </row>
    <row r="35" spans="1:10" x14ac:dyDescent="0.35">
      <c r="A35" s="58"/>
      <c r="B35" s="3"/>
      <c r="C35" s="3"/>
      <c r="D35" s="3"/>
      <c r="E35" s="3"/>
      <c r="F35" s="3"/>
      <c r="G35" s="3"/>
      <c r="H35" s="74"/>
      <c r="J35" s="24" t="s">
        <v>182</v>
      </c>
    </row>
    <row r="36" spans="1:10" x14ac:dyDescent="0.35">
      <c r="A36" s="58"/>
      <c r="B36" s="3"/>
      <c r="C36" s="3"/>
      <c r="D36" s="3"/>
      <c r="E36" s="3"/>
      <c r="F36" s="3"/>
      <c r="G36" s="3"/>
      <c r="H36" s="74"/>
      <c r="J36" s="24" t="s">
        <v>183</v>
      </c>
    </row>
    <row r="37" spans="1:10" x14ac:dyDescent="0.35">
      <c r="A37" s="58"/>
      <c r="B37" s="3"/>
      <c r="C37" s="3"/>
      <c r="D37" s="3"/>
      <c r="E37" s="3"/>
      <c r="F37" s="3"/>
      <c r="G37" s="3"/>
      <c r="H37" s="74"/>
      <c r="I37" s="124"/>
      <c r="J37" s="24" t="s">
        <v>184</v>
      </c>
    </row>
    <row r="38" spans="1:10" x14ac:dyDescent="0.35">
      <c r="A38" s="58"/>
      <c r="B38" s="3"/>
      <c r="C38" s="3"/>
      <c r="D38" s="3"/>
      <c r="E38" s="3"/>
      <c r="F38" s="3"/>
      <c r="G38" s="3"/>
      <c r="H38" s="74"/>
      <c r="I38" s="122"/>
      <c r="J38" s="24" t="s">
        <v>185</v>
      </c>
    </row>
    <row r="39" spans="1:10" x14ac:dyDescent="0.35">
      <c r="A39" s="58"/>
      <c r="B39" s="3"/>
      <c r="C39" s="3"/>
      <c r="D39" s="3"/>
      <c r="E39" s="3"/>
      <c r="F39" s="3"/>
      <c r="G39" s="3"/>
      <c r="H39" s="74"/>
      <c r="I39" s="122"/>
      <c r="J39" s="24" t="s">
        <v>186</v>
      </c>
    </row>
    <row r="40" spans="1:10" ht="18.5" x14ac:dyDescent="0.45">
      <c r="A40" s="176" t="s">
        <v>435</v>
      </c>
      <c r="B40" s="177"/>
      <c r="C40" s="177"/>
      <c r="D40" s="177"/>
      <c r="E40" s="177"/>
      <c r="F40" s="177"/>
      <c r="G40" s="177"/>
      <c r="H40" s="178"/>
      <c r="I40" s="122"/>
      <c r="J40" s="24" t="s">
        <v>187</v>
      </c>
    </row>
    <row r="41" spans="1:10" x14ac:dyDescent="0.35">
      <c r="A41" s="12"/>
      <c r="H41" s="46"/>
      <c r="I41" s="122"/>
      <c r="J41" s="24" t="s">
        <v>188</v>
      </c>
    </row>
    <row r="42" spans="1:10" x14ac:dyDescent="0.35">
      <c r="A42" s="12"/>
      <c r="H42" s="46"/>
      <c r="I42" s="122"/>
      <c r="J42" s="24" t="s">
        <v>189</v>
      </c>
    </row>
    <row r="43" spans="1:10" x14ac:dyDescent="0.35">
      <c r="A43" s="12"/>
      <c r="H43" s="46"/>
      <c r="I43" s="122"/>
      <c r="J43" s="30" t="s">
        <v>190</v>
      </c>
    </row>
    <row r="44" spans="1:10" ht="18.5" x14ac:dyDescent="0.45">
      <c r="A44" s="12"/>
      <c r="H44" s="46"/>
      <c r="I44" s="121"/>
      <c r="J44" s="24" t="s">
        <v>191</v>
      </c>
    </row>
    <row r="45" spans="1:10" x14ac:dyDescent="0.35">
      <c r="A45" s="12"/>
      <c r="H45" s="46"/>
    </row>
    <row r="46" spans="1:10" x14ac:dyDescent="0.35">
      <c r="A46" s="12"/>
      <c r="H46" s="46"/>
    </row>
    <row r="47" spans="1:10" x14ac:dyDescent="0.35">
      <c r="A47" s="12"/>
      <c r="H47" s="46"/>
    </row>
    <row r="48" spans="1:10" x14ac:dyDescent="0.35">
      <c r="A48" s="12"/>
      <c r="H48" s="46"/>
    </row>
    <row r="49" spans="1:8" x14ac:dyDescent="0.35">
      <c r="A49" s="14"/>
      <c r="B49" s="13"/>
      <c r="C49" s="13"/>
      <c r="D49" s="13"/>
      <c r="E49" s="13"/>
      <c r="F49" s="13"/>
      <c r="G49" s="13"/>
      <c r="H49" s="23"/>
    </row>
  </sheetData>
  <mergeCells count="11">
    <mergeCell ref="A40:H40"/>
    <mergeCell ref="A31:H31"/>
    <mergeCell ref="A13:H13"/>
    <mergeCell ref="A1:H1"/>
    <mergeCell ref="A7:H7"/>
    <mergeCell ref="C8:H8"/>
    <mergeCell ref="E14:G14"/>
    <mergeCell ref="A26:H26"/>
    <mergeCell ref="A23:H23"/>
    <mergeCell ref="E27:G27"/>
    <mergeCell ref="E32:G32"/>
  </mergeCells>
  <dataValidations disablePrompts="1" count="4">
    <dataValidation type="list" allowBlank="1" showInputMessage="1" showErrorMessage="1" sqref="I6" xr:uid="{27660C23-F732-4027-AD34-9A7CCAD73F18}">
      <formula1>$L$2:$L$4</formula1>
    </dataValidation>
    <dataValidation type="list" allowBlank="1" showInputMessage="1" showErrorMessage="1" sqref="I5" xr:uid="{63953B24-4295-4D9D-A673-42BD4272861E}">
      <formula1>$J$2:$J$4</formula1>
    </dataValidation>
    <dataValidation type="list" allowBlank="1" showInputMessage="1" showErrorMessage="1" sqref="I38:I43" xr:uid="{1D5ED155-27BE-4A3D-B93B-6E7CE4061069}">
      <formula1>$P$16:$P$23</formula1>
    </dataValidation>
    <dataValidation type="list" allowBlank="1" showInputMessage="1" showErrorMessage="1" sqref="D34:D39" xr:uid="{639B7C95-A83F-4D1E-B9B4-E9781AC4DDDF}">
      <formula1>$J$37:$J$44</formula1>
    </dataValidation>
  </dataValidations>
  <pageMargins left="0.7" right="0.7" top="0.75" bottom="0.75" header="0.3" footer="0.3"/>
  <pageSetup scale="85" orientation="portrait" r:id="rId1"/>
  <headerFooter>
    <oddHeader xml:space="preserve">&amp;C&amp;18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5CB-162F-4295-81E8-AA9B46DE4825}">
  <dimension ref="A1:AF51"/>
  <sheetViews>
    <sheetView view="pageBreakPreview" zoomScaleNormal="100" zoomScaleSheetLayoutView="100" workbookViewId="0">
      <selection activeCell="F5" sqref="F5"/>
    </sheetView>
  </sheetViews>
  <sheetFormatPr defaultRowHeight="14.5" x14ac:dyDescent="0.35"/>
  <cols>
    <col min="1" max="1" width="12.36328125" customWidth="1"/>
    <col min="4" max="4" width="9.08984375" bestFit="1" customWidth="1"/>
    <col min="7" max="7" width="11.81640625" customWidth="1"/>
    <col min="15" max="15" width="12.6328125" customWidth="1"/>
    <col min="17" max="17" width="12.6328125" customWidth="1"/>
    <col min="25" max="25" width="12.6328125" customWidth="1"/>
    <col min="27" max="27" width="12.6328125" customWidth="1"/>
  </cols>
  <sheetData>
    <row r="1" spans="1:32" ht="19" thickBot="1" x14ac:dyDescent="0.5">
      <c r="A1" s="213" t="s">
        <v>17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17</v>
      </c>
      <c r="L1" s="214"/>
      <c r="M1" s="214"/>
      <c r="N1" s="214"/>
      <c r="O1" s="214"/>
      <c r="P1" s="214"/>
      <c r="Q1" s="214"/>
      <c r="R1" s="214"/>
      <c r="S1" s="214"/>
      <c r="T1" s="215"/>
      <c r="U1" s="213" t="s">
        <v>17</v>
      </c>
      <c r="V1" s="214"/>
      <c r="W1" s="214"/>
      <c r="X1" s="214"/>
      <c r="Y1" s="214"/>
      <c r="Z1" s="214"/>
      <c r="AA1" s="214"/>
      <c r="AB1" s="214"/>
      <c r="AC1" s="214"/>
      <c r="AD1" s="215"/>
    </row>
    <row r="2" spans="1:32" x14ac:dyDescent="0.35">
      <c r="A2" s="45" t="s">
        <v>18</v>
      </c>
      <c r="C2" s="3" t="s">
        <v>437</v>
      </c>
      <c r="J2" s="46"/>
      <c r="K2" s="39"/>
      <c r="L2" s="55"/>
      <c r="M2" s="56"/>
      <c r="N2" s="93" t="s">
        <v>38</v>
      </c>
      <c r="O2" s="55"/>
      <c r="P2" s="39" t="s">
        <v>35</v>
      </c>
      <c r="Q2" s="55"/>
      <c r="R2" s="39" t="s">
        <v>39</v>
      </c>
      <c r="S2" s="55"/>
      <c r="T2" s="56"/>
      <c r="U2" s="50" t="s">
        <v>60</v>
      </c>
      <c r="V2" s="66"/>
      <c r="W2" s="66"/>
      <c r="X2" s="66"/>
      <c r="Y2" s="66"/>
      <c r="Z2" s="50"/>
      <c r="AA2" s="66"/>
      <c r="AB2" s="94" t="s">
        <v>298</v>
      </c>
      <c r="AC2" s="66"/>
      <c r="AD2" s="67"/>
    </row>
    <row r="3" spans="1:32" x14ac:dyDescent="0.35">
      <c r="A3" s="45" t="s">
        <v>19</v>
      </c>
      <c r="C3" s="3" t="s">
        <v>436</v>
      </c>
      <c r="J3" s="46"/>
      <c r="K3" s="12"/>
      <c r="M3" s="46"/>
      <c r="N3" s="12"/>
      <c r="P3" s="12" t="s">
        <v>36</v>
      </c>
      <c r="R3" s="12" t="s">
        <v>40</v>
      </c>
      <c r="T3" s="46"/>
      <c r="U3" s="139" t="s">
        <v>380</v>
      </c>
      <c r="V3" s="66"/>
      <c r="W3" s="66"/>
      <c r="X3" s="66"/>
      <c r="Y3" s="66"/>
      <c r="Z3" s="225" t="s">
        <v>378</v>
      </c>
      <c r="AA3" s="226"/>
      <c r="AB3" s="226"/>
      <c r="AC3" s="226"/>
      <c r="AD3" s="227"/>
    </row>
    <row r="4" spans="1:32" x14ac:dyDescent="0.35">
      <c r="A4" s="12"/>
      <c r="J4" s="46"/>
      <c r="K4" s="14"/>
      <c r="L4" s="13"/>
      <c r="M4" s="23"/>
      <c r="N4" s="14"/>
      <c r="O4" s="13"/>
      <c r="P4" s="14" t="s">
        <v>37</v>
      </c>
      <c r="Q4" s="13"/>
      <c r="R4" s="14"/>
      <c r="S4" s="13"/>
      <c r="T4" s="23"/>
      <c r="U4" s="50"/>
      <c r="V4" s="66"/>
      <c r="W4" s="66"/>
      <c r="X4" s="66"/>
      <c r="Y4" s="66"/>
      <c r="Z4" s="228"/>
      <c r="AA4" s="229"/>
      <c r="AB4" s="229"/>
      <c r="AC4" s="229"/>
      <c r="AD4" s="230"/>
    </row>
    <row r="5" spans="1:32" x14ac:dyDescent="0.35">
      <c r="A5" s="45" t="s">
        <v>20</v>
      </c>
      <c r="B5" s="6" t="s">
        <v>21</v>
      </c>
      <c r="J5" s="46"/>
      <c r="K5" s="45" t="s">
        <v>41</v>
      </c>
      <c r="M5" s="46"/>
      <c r="N5" s="92"/>
      <c r="P5" s="39"/>
      <c r="R5" s="12"/>
      <c r="T5" s="46"/>
      <c r="U5" s="50"/>
      <c r="V5" s="66"/>
      <c r="W5" s="66"/>
      <c r="X5" s="66"/>
      <c r="Y5" s="66"/>
      <c r="Z5" s="228"/>
      <c r="AA5" s="229"/>
      <c r="AB5" s="229"/>
      <c r="AC5" s="229"/>
      <c r="AD5" s="230"/>
    </row>
    <row r="6" spans="1:32" x14ac:dyDescent="0.35">
      <c r="A6" s="12"/>
      <c r="B6" s="6" t="s">
        <v>22</v>
      </c>
      <c r="J6" s="46"/>
      <c r="K6" s="45" t="s">
        <v>11</v>
      </c>
      <c r="M6" s="46"/>
      <c r="N6" s="12"/>
      <c r="P6" s="12"/>
      <c r="R6" s="12"/>
      <c r="T6" s="46"/>
      <c r="U6" s="50"/>
      <c r="V6" s="66"/>
      <c r="W6" s="66"/>
      <c r="X6" s="66"/>
      <c r="Y6" s="66"/>
      <c r="Z6" s="228"/>
      <c r="AA6" s="229"/>
      <c r="AB6" s="229"/>
      <c r="AC6" s="229"/>
      <c r="AD6" s="230"/>
    </row>
    <row r="7" spans="1:32" x14ac:dyDescent="0.35">
      <c r="A7" s="12"/>
      <c r="B7" s="6" t="s">
        <v>28</v>
      </c>
      <c r="J7" s="46"/>
      <c r="K7" s="12" t="s">
        <v>371</v>
      </c>
      <c r="M7" s="46"/>
      <c r="N7" s="12"/>
      <c r="P7" s="12"/>
      <c r="R7" s="12"/>
      <c r="T7" s="46"/>
      <c r="U7" s="14"/>
      <c r="V7" s="13"/>
      <c r="W7" s="13"/>
      <c r="X7" s="13"/>
      <c r="Y7" s="13"/>
      <c r="Z7" s="228"/>
      <c r="AA7" s="229"/>
      <c r="AB7" s="229"/>
      <c r="AC7" s="229"/>
      <c r="AD7" s="230"/>
    </row>
    <row r="8" spans="1:32" x14ac:dyDescent="0.35">
      <c r="A8" s="45" t="s">
        <v>23</v>
      </c>
      <c r="B8" s="147" t="s">
        <v>24</v>
      </c>
      <c r="C8" s="29"/>
      <c r="D8" s="29"/>
      <c r="E8" s="147" t="s">
        <v>144</v>
      </c>
      <c r="F8" s="29"/>
      <c r="G8" s="29"/>
      <c r="H8" s="147" t="s">
        <v>321</v>
      </c>
      <c r="I8" s="29"/>
      <c r="J8" s="47"/>
      <c r="K8" s="58" t="str">
        <f>'Life Cycle Data Worksheet'!C38</f>
        <v>(Select)</v>
      </c>
      <c r="M8" s="46"/>
      <c r="N8" s="58"/>
      <c r="P8" s="12"/>
      <c r="R8" s="12"/>
      <c r="T8" s="46"/>
      <c r="U8" s="12" t="s">
        <v>381</v>
      </c>
      <c r="AD8" s="46"/>
    </row>
    <row r="9" spans="1:32" x14ac:dyDescent="0.35">
      <c r="A9" s="12"/>
      <c r="B9" s="147" t="s">
        <v>25</v>
      </c>
      <c r="C9" s="29"/>
      <c r="D9" s="29"/>
      <c r="E9" s="29"/>
      <c r="F9" s="29"/>
      <c r="G9" s="29"/>
      <c r="H9" s="29"/>
      <c r="I9" s="29"/>
      <c r="J9" s="47"/>
      <c r="K9" s="12"/>
      <c r="M9" s="46"/>
      <c r="N9" s="12"/>
      <c r="P9" s="12"/>
      <c r="R9" s="12"/>
      <c r="T9" s="46"/>
      <c r="U9" s="12" t="s">
        <v>382</v>
      </c>
      <c r="X9" s="4" t="s">
        <v>383</v>
      </c>
      <c r="AD9" s="46"/>
    </row>
    <row r="10" spans="1:32" x14ac:dyDescent="0.35">
      <c r="A10" s="12"/>
      <c r="B10" s="147" t="s">
        <v>26</v>
      </c>
      <c r="C10" s="29"/>
      <c r="D10" s="29"/>
      <c r="E10" s="29"/>
      <c r="F10" s="29"/>
      <c r="G10" s="29"/>
      <c r="H10" s="29"/>
      <c r="I10" s="29"/>
      <c r="J10" s="47"/>
      <c r="K10" s="58" t="str">
        <f>'Life Cycle Data Worksheet'!C40</f>
        <v>(Select)</v>
      </c>
      <c r="M10" s="46"/>
      <c r="N10" s="12"/>
      <c r="P10" s="12"/>
      <c r="R10" s="12"/>
      <c r="T10" s="46"/>
      <c r="U10" s="45" t="s">
        <v>84</v>
      </c>
      <c r="AD10" s="46"/>
    </row>
    <row r="11" spans="1:32" x14ac:dyDescent="0.35">
      <c r="A11" s="12"/>
      <c r="B11" s="147" t="s">
        <v>27</v>
      </c>
      <c r="C11" s="29"/>
      <c r="D11" s="29"/>
      <c r="E11" s="29"/>
      <c r="F11" s="29"/>
      <c r="G11" s="29"/>
      <c r="H11" s="29"/>
      <c r="I11" s="29"/>
      <c r="J11" s="47"/>
      <c r="K11" s="12"/>
      <c r="M11" s="46"/>
      <c r="N11" s="12"/>
      <c r="P11" s="12"/>
      <c r="R11" s="12"/>
      <c r="T11" s="46"/>
      <c r="U11" s="12" t="s">
        <v>61</v>
      </c>
      <c r="Y11" s="3" t="str">
        <f>'Life Cycle Data Worksheet'!H34</f>
        <v>(from Initial Information)</v>
      </c>
      <c r="AD11" s="46"/>
    </row>
    <row r="12" spans="1:32" x14ac:dyDescent="0.35">
      <c r="A12" s="222" t="s">
        <v>145</v>
      </c>
      <c r="B12" s="223"/>
      <c r="C12" s="223"/>
      <c r="D12" s="223"/>
      <c r="E12" s="223"/>
      <c r="F12" s="223"/>
      <c r="G12" s="223"/>
      <c r="H12" s="223"/>
      <c r="I12" s="223"/>
      <c r="J12" s="224"/>
      <c r="K12" s="58" t="str">
        <f>'Life Cycle Data Worksheet'!C42</f>
        <v>(Select)</v>
      </c>
      <c r="N12" s="58"/>
      <c r="P12" s="12"/>
      <c r="R12" s="12"/>
      <c r="T12" s="46"/>
      <c r="U12" s="12" t="s">
        <v>62</v>
      </c>
      <c r="Y12" s="3" t="str">
        <f>'Life Cycle Data Worksheet'!H35</f>
        <v>(from Initial Information)</v>
      </c>
      <c r="AD12" s="46"/>
    </row>
    <row r="13" spans="1:32" x14ac:dyDescent="0.35">
      <c r="A13" s="45" t="s">
        <v>110</v>
      </c>
      <c r="B13" s="3" t="str">
        <f>'Life Cycle Data Worksheet'!C2</f>
        <v>Muncie Family Physicians</v>
      </c>
      <c r="J13" s="46"/>
      <c r="K13" s="12"/>
      <c r="N13" s="12"/>
      <c r="P13" s="12"/>
      <c r="R13" s="12"/>
      <c r="T13" s="46"/>
      <c r="U13" s="45" t="s">
        <v>320</v>
      </c>
      <c r="X13" t="s">
        <v>83</v>
      </c>
      <c r="AD13" s="46"/>
    </row>
    <row r="14" spans="1:32" x14ac:dyDescent="0.35">
      <c r="A14" s="45" t="s">
        <v>29</v>
      </c>
      <c r="B14" s="3" t="str">
        <f>'Life Cycle Data Worksheet'!C3</f>
        <v>(from Initial Information)</v>
      </c>
      <c r="J14" s="46"/>
      <c r="K14" s="45" t="s">
        <v>42</v>
      </c>
      <c r="N14" s="12"/>
      <c r="P14" s="12"/>
      <c r="R14" s="12"/>
      <c r="T14" s="46"/>
      <c r="U14" s="39"/>
      <c r="V14" s="55"/>
      <c r="W14" s="55"/>
      <c r="X14" s="68" t="s">
        <v>38</v>
      </c>
      <c r="Y14" s="89"/>
      <c r="Z14" s="90" t="s">
        <v>35</v>
      </c>
      <c r="AA14" s="89"/>
      <c r="AB14" s="90" t="s">
        <v>39</v>
      </c>
      <c r="AC14" s="89"/>
      <c r="AD14" s="95"/>
    </row>
    <row r="15" spans="1:32" x14ac:dyDescent="0.35">
      <c r="A15" s="12"/>
      <c r="B15" s="3" t="str">
        <f>'Life Cycle Data Worksheet'!C4</f>
        <v>(from Initial Information)</v>
      </c>
      <c r="J15" s="46"/>
      <c r="K15" s="45" t="s">
        <v>11</v>
      </c>
      <c r="N15" s="12"/>
      <c r="P15" s="12"/>
      <c r="R15" s="12"/>
      <c r="T15" s="46"/>
      <c r="U15" s="12"/>
      <c r="X15" s="12" t="s">
        <v>317</v>
      </c>
      <c r="Z15" s="45" t="s">
        <v>36</v>
      </c>
      <c r="AA15" s="1"/>
      <c r="AB15" s="45" t="s">
        <v>40</v>
      </c>
      <c r="AC15" s="1"/>
      <c r="AD15" s="96"/>
      <c r="AF15" s="1" t="s">
        <v>384</v>
      </c>
    </row>
    <row r="16" spans="1:32" x14ac:dyDescent="0.35">
      <c r="A16" s="45" t="s">
        <v>370</v>
      </c>
      <c r="J16" s="46"/>
      <c r="K16" s="58" t="str">
        <f>'Life Cycle Data Worksheet'!H38</f>
        <v>(Architect)</v>
      </c>
      <c r="N16" s="12"/>
      <c r="P16" s="12"/>
      <c r="R16" s="12"/>
      <c r="T16" s="46"/>
      <c r="U16" s="14"/>
      <c r="V16" s="13"/>
      <c r="W16" s="13"/>
      <c r="X16" s="14"/>
      <c r="Y16" s="13"/>
      <c r="Z16" s="86" t="s">
        <v>37</v>
      </c>
      <c r="AA16" s="85"/>
      <c r="AB16" s="14"/>
      <c r="AC16" s="13"/>
      <c r="AD16" s="23"/>
      <c r="AF16" t="s">
        <v>32</v>
      </c>
    </row>
    <row r="17" spans="1:32" x14ac:dyDescent="0.35">
      <c r="A17" s="148" t="str">
        <f>'Life Cycle Data Worksheet'!A16</f>
        <v>(from Initial Information) Must be refined/discussed to create clear understanding in Project Initiation Phase</v>
      </c>
      <c r="B17" s="149"/>
      <c r="C17" s="149"/>
      <c r="D17" s="149"/>
      <c r="E17" s="149"/>
      <c r="F17" s="149"/>
      <c r="G17" s="149"/>
      <c r="H17" s="149"/>
      <c r="J17" s="46"/>
      <c r="K17" s="58" t="str">
        <f>'Life Cycle Data Worksheet'!H39</f>
        <v>(Architect)</v>
      </c>
      <c r="N17" s="12"/>
      <c r="P17" s="12"/>
      <c r="R17" s="12"/>
      <c r="T17" s="46"/>
      <c r="U17" s="50" t="s">
        <v>63</v>
      </c>
      <c r="V17" s="66"/>
      <c r="W17" s="66"/>
      <c r="X17" s="225" t="s">
        <v>64</v>
      </c>
      <c r="Y17" s="227"/>
      <c r="Z17" s="225" t="s">
        <v>32</v>
      </c>
      <c r="AA17" s="227"/>
      <c r="AB17" s="225" t="s">
        <v>32</v>
      </c>
      <c r="AC17" s="226"/>
      <c r="AD17" s="227"/>
      <c r="AF17" t="s">
        <v>64</v>
      </c>
    </row>
    <row r="18" spans="1:32" x14ac:dyDescent="0.35">
      <c r="A18" s="150"/>
      <c r="B18" s="149"/>
      <c r="C18" s="149"/>
      <c r="D18" s="149"/>
      <c r="E18" s="149"/>
      <c r="F18" s="149"/>
      <c r="G18" s="149"/>
      <c r="H18" s="149"/>
      <c r="J18" s="46"/>
      <c r="K18" s="58" t="str">
        <f>'Life Cycle Data Worksheet'!H40</f>
        <v>(Architect)</v>
      </c>
      <c r="N18" s="12"/>
      <c r="P18" s="12"/>
      <c r="R18" s="12"/>
      <c r="T18" s="46"/>
      <c r="U18" s="61" t="s">
        <v>64</v>
      </c>
      <c r="V18" s="59"/>
      <c r="W18" s="59"/>
      <c r="X18" s="61"/>
      <c r="Y18" s="59"/>
      <c r="Z18" s="61"/>
      <c r="AA18" s="59"/>
      <c r="AB18" s="61"/>
      <c r="AC18" s="59"/>
      <c r="AD18" s="60"/>
      <c r="AF18" t="s">
        <v>385</v>
      </c>
    </row>
    <row r="19" spans="1:32" x14ac:dyDescent="0.35">
      <c r="A19" s="150"/>
      <c r="B19" s="149"/>
      <c r="C19" s="149"/>
      <c r="D19" s="149"/>
      <c r="E19" s="149"/>
      <c r="F19" s="149"/>
      <c r="G19" s="149"/>
      <c r="H19" s="149"/>
      <c r="J19" s="46"/>
      <c r="K19" s="58" t="str">
        <f>'Life Cycle Data Worksheet'!H41</f>
        <v>(Architect)</v>
      </c>
      <c r="N19" s="12"/>
      <c r="P19" s="12"/>
      <c r="R19" s="12"/>
      <c r="T19" s="46"/>
      <c r="U19" s="12" t="s">
        <v>65</v>
      </c>
      <c r="X19" s="228" t="s">
        <v>32</v>
      </c>
      <c r="Y19" s="230"/>
      <c r="Z19" s="225" t="s">
        <v>385</v>
      </c>
      <c r="AA19" s="227"/>
      <c r="AB19" s="225" t="s">
        <v>385</v>
      </c>
      <c r="AC19" s="226"/>
      <c r="AD19" s="227"/>
    </row>
    <row r="20" spans="1:32" x14ac:dyDescent="0.35">
      <c r="A20" s="150"/>
      <c r="B20" s="149"/>
      <c r="C20" s="149"/>
      <c r="D20" s="149"/>
      <c r="E20" s="149"/>
      <c r="F20" s="149"/>
      <c r="G20" s="149"/>
      <c r="H20" s="149"/>
      <c r="J20" s="46"/>
      <c r="K20" s="58" t="str">
        <f>'Life Cycle Data Worksheet'!H42</f>
        <v>(Architect)</v>
      </c>
      <c r="N20" s="12"/>
      <c r="P20" s="12"/>
      <c r="R20" s="12"/>
      <c r="T20" s="46"/>
      <c r="U20" s="88" t="s">
        <v>66</v>
      </c>
      <c r="V20" s="87"/>
      <c r="W20" s="87"/>
      <c r="X20" s="88"/>
      <c r="Y20" s="87"/>
      <c r="Z20" s="88" t="s">
        <v>69</v>
      </c>
      <c r="AA20" s="87"/>
      <c r="AB20" s="88"/>
      <c r="AC20" s="87"/>
      <c r="AD20" s="97"/>
    </row>
    <row r="21" spans="1:32" x14ac:dyDescent="0.35">
      <c r="A21" s="45" t="s">
        <v>30</v>
      </c>
      <c r="D21" s="151">
        <v>45944</v>
      </c>
      <c r="E21" s="3" t="s">
        <v>146</v>
      </c>
      <c r="J21" s="46"/>
      <c r="K21" s="98" t="str">
        <f>'Life Cycle Data Worksheet'!H43</f>
        <v>(Architect)</v>
      </c>
      <c r="L21" s="13"/>
      <c r="M21" s="13"/>
      <c r="N21" s="14"/>
      <c r="O21" s="13"/>
      <c r="P21" s="14"/>
      <c r="Q21" s="13"/>
      <c r="R21" s="14"/>
      <c r="S21" s="13"/>
      <c r="T21" s="23"/>
      <c r="U21" s="61"/>
      <c r="V21" s="59"/>
      <c r="W21" s="59"/>
      <c r="X21" s="61"/>
      <c r="Y21" s="59"/>
      <c r="Z21" s="61" t="s">
        <v>70</v>
      </c>
      <c r="AA21" s="59"/>
      <c r="AB21" s="61"/>
      <c r="AC21" s="59"/>
      <c r="AD21" s="60"/>
    </row>
    <row r="22" spans="1:32" x14ac:dyDescent="0.35">
      <c r="A22" s="12"/>
      <c r="D22" s="151">
        <v>46023</v>
      </c>
      <c r="E22" s="3" t="s">
        <v>147</v>
      </c>
      <c r="J22" s="46"/>
      <c r="K22" s="45" t="s">
        <v>86</v>
      </c>
      <c r="T22" s="46"/>
      <c r="U22" s="12" t="s">
        <v>67</v>
      </c>
      <c r="X22" s="12"/>
      <c r="Z22" s="12"/>
      <c r="AB22" s="12"/>
      <c r="AD22" s="46"/>
    </row>
    <row r="23" spans="1:32" x14ac:dyDescent="0.35">
      <c r="A23" s="45" t="s">
        <v>85</v>
      </c>
      <c r="J23" s="46"/>
      <c r="K23" s="45" t="s">
        <v>43</v>
      </c>
      <c r="T23" s="46"/>
      <c r="U23" s="140" t="s">
        <v>68</v>
      </c>
      <c r="V23" s="80"/>
      <c r="W23" s="80"/>
      <c r="X23" s="79"/>
      <c r="Y23" s="80"/>
      <c r="Z23" s="79"/>
      <c r="AA23" s="80"/>
      <c r="AB23" s="79"/>
      <c r="AC23" s="80"/>
      <c r="AD23" s="77"/>
    </row>
    <row r="24" spans="1:32" x14ac:dyDescent="0.35">
      <c r="A24" s="12" t="s">
        <v>31</v>
      </c>
      <c r="C24" s="4" t="s">
        <v>386</v>
      </c>
      <c r="J24" s="46"/>
      <c r="K24" s="11" t="s">
        <v>44</v>
      </c>
      <c r="N24" s="4" t="s">
        <v>372</v>
      </c>
      <c r="T24" s="46"/>
      <c r="U24" s="12"/>
      <c r="AD24" s="46"/>
    </row>
    <row r="25" spans="1:32" x14ac:dyDescent="0.35">
      <c r="A25" s="12"/>
      <c r="C25" s="4" t="s">
        <v>387</v>
      </c>
      <c r="J25" s="46"/>
      <c r="K25" s="12"/>
      <c r="N25" s="3"/>
      <c r="T25" s="46"/>
      <c r="U25" s="45" t="s">
        <v>319</v>
      </c>
      <c r="AD25" s="46"/>
    </row>
    <row r="26" spans="1:32" x14ac:dyDescent="0.35">
      <c r="A26" s="12" t="s">
        <v>33</v>
      </c>
      <c r="C26" s="3" t="str">
        <f>'Life Cycle Data Worksheet'!A27</f>
        <v>(from Initial Information)</v>
      </c>
      <c r="J26" s="46"/>
      <c r="K26" s="11" t="s">
        <v>45</v>
      </c>
      <c r="N26" s="4" t="s">
        <v>372</v>
      </c>
      <c r="T26" s="46"/>
      <c r="U26" s="12" t="s">
        <v>71</v>
      </c>
      <c r="X26" s="4" t="s">
        <v>392</v>
      </c>
      <c r="AD26" s="46"/>
    </row>
    <row r="27" spans="1:32" x14ac:dyDescent="0.35">
      <c r="A27" s="12" t="s">
        <v>111</v>
      </c>
      <c r="C27" s="3" t="str">
        <f>'Life Cycle Data Worksheet'!H29</f>
        <v>(Select)</v>
      </c>
      <c r="J27" s="46"/>
      <c r="K27" s="12"/>
      <c r="T27" s="46"/>
      <c r="U27" s="45" t="s">
        <v>318</v>
      </c>
      <c r="X27" s="4" t="s">
        <v>392</v>
      </c>
      <c r="AD27" s="46"/>
    </row>
    <row r="28" spans="1:32" x14ac:dyDescent="0.35">
      <c r="A28" s="12"/>
      <c r="J28" s="46"/>
      <c r="K28" s="11" t="s">
        <v>46</v>
      </c>
      <c r="N28" s="4" t="s">
        <v>372</v>
      </c>
      <c r="T28" s="46"/>
      <c r="U28" s="12" t="s">
        <v>72</v>
      </c>
      <c r="AD28" s="46"/>
    </row>
    <row r="29" spans="1:32" x14ac:dyDescent="0.35">
      <c r="A29" s="39"/>
      <c r="B29" s="55"/>
      <c r="C29" s="56"/>
      <c r="D29" s="93" t="s">
        <v>38</v>
      </c>
      <c r="E29" s="55"/>
      <c r="F29" s="39" t="s">
        <v>35</v>
      </c>
      <c r="G29" s="55"/>
      <c r="H29" s="39" t="s">
        <v>39</v>
      </c>
      <c r="I29" s="55"/>
      <c r="J29" s="56"/>
      <c r="K29" s="12"/>
      <c r="T29" s="46"/>
      <c r="U29" s="69">
        <v>4.4000000000000004</v>
      </c>
      <c r="V29" s="4" t="s">
        <v>388</v>
      </c>
      <c r="AD29" s="46"/>
    </row>
    <row r="30" spans="1:32" x14ac:dyDescent="0.35">
      <c r="A30" s="12"/>
      <c r="C30" s="46"/>
      <c r="D30" s="12"/>
      <c r="F30" s="12" t="s">
        <v>36</v>
      </c>
      <c r="H30" s="12" t="s">
        <v>40</v>
      </c>
      <c r="J30" s="46"/>
      <c r="K30" s="12"/>
      <c r="T30" s="23"/>
      <c r="U30" s="45" t="s">
        <v>82</v>
      </c>
      <c r="X30" s="3" t="s">
        <v>112</v>
      </c>
      <c r="AD30" s="46"/>
    </row>
    <row r="31" spans="1:32" x14ac:dyDescent="0.35">
      <c r="A31" s="14"/>
      <c r="B31" s="13"/>
      <c r="C31" s="23"/>
      <c r="D31" s="14"/>
      <c r="E31" s="13"/>
      <c r="F31" s="14" t="s">
        <v>37</v>
      </c>
      <c r="G31" s="13"/>
      <c r="H31" s="14"/>
      <c r="I31" s="13"/>
      <c r="J31" s="23"/>
      <c r="K31" s="82" t="s">
        <v>47</v>
      </c>
      <c r="L31" s="66"/>
      <c r="M31" s="66"/>
      <c r="N31" s="66"/>
      <c r="O31" s="91"/>
      <c r="P31" s="66"/>
      <c r="Q31" s="66"/>
      <c r="R31" s="66"/>
      <c r="S31" s="66"/>
      <c r="T31" s="67"/>
      <c r="U31" s="45" t="s">
        <v>81</v>
      </c>
      <c r="AD31" s="46"/>
    </row>
    <row r="32" spans="1:32" x14ac:dyDescent="0.35">
      <c r="A32" s="45" t="s">
        <v>34</v>
      </c>
      <c r="C32" s="46"/>
      <c r="D32" s="92"/>
      <c r="F32" s="39"/>
      <c r="H32" s="12"/>
      <c r="J32" s="46"/>
      <c r="K32" s="39"/>
      <c r="L32" s="55"/>
      <c r="M32" s="55"/>
      <c r="N32" s="55"/>
      <c r="O32" s="55"/>
      <c r="P32" s="219" t="s">
        <v>298</v>
      </c>
      <c r="Q32" s="220"/>
      <c r="R32" s="220"/>
      <c r="S32" s="220"/>
      <c r="T32" s="221"/>
      <c r="U32" s="12" t="s">
        <v>73</v>
      </c>
      <c r="AD32" s="46"/>
    </row>
    <row r="33" spans="1:30" x14ac:dyDescent="0.35">
      <c r="A33" s="58" t="str">
        <f>'Life Cycle Data Worksheet'!A45</f>
        <v>(Select)</v>
      </c>
      <c r="C33" s="46"/>
      <c r="D33" s="12"/>
      <c r="F33" s="12"/>
      <c r="H33" s="12"/>
      <c r="J33" s="46"/>
      <c r="K33" s="14" t="s">
        <v>42</v>
      </c>
      <c r="L33" s="13"/>
      <c r="M33" s="13"/>
      <c r="N33" s="13"/>
      <c r="O33" s="13"/>
      <c r="P33" s="216" t="s">
        <v>48</v>
      </c>
      <c r="Q33" s="217"/>
      <c r="R33" s="217"/>
      <c r="S33" s="217"/>
      <c r="T33" s="218"/>
      <c r="U33" s="12" t="s">
        <v>75</v>
      </c>
      <c r="X33" s="4" t="str">
        <f>'Life Cycle Data Worksheet'!H7</f>
        <v>(from Initial Information)</v>
      </c>
      <c r="AD33" s="46"/>
    </row>
    <row r="34" spans="1:30" x14ac:dyDescent="0.35">
      <c r="A34" s="58" t="str">
        <f>'Life Cycle Data Worksheet'!A46</f>
        <v>(Select)</v>
      </c>
      <c r="C34" s="46"/>
      <c r="D34" s="12"/>
      <c r="F34" s="12"/>
      <c r="H34" s="12"/>
      <c r="J34" s="46"/>
      <c r="K34" s="39" t="s">
        <v>49</v>
      </c>
      <c r="L34" s="55"/>
      <c r="M34" s="55"/>
      <c r="N34" s="55"/>
      <c r="O34" s="55"/>
      <c r="P34" s="231" t="s">
        <v>378</v>
      </c>
      <c r="Q34" s="232"/>
      <c r="R34" s="232"/>
      <c r="S34" s="232"/>
      <c r="T34" s="233"/>
      <c r="U34" s="12" t="s">
        <v>74</v>
      </c>
      <c r="AD34" s="46"/>
    </row>
    <row r="35" spans="1:30" x14ac:dyDescent="0.35">
      <c r="A35" s="58" t="str">
        <f>'Life Cycle Data Worksheet'!A47</f>
        <v>(Select)</v>
      </c>
      <c r="C35" s="46"/>
      <c r="D35" s="58"/>
      <c r="F35" s="12"/>
      <c r="H35" s="12"/>
      <c r="J35" s="46"/>
      <c r="K35" s="14" t="s">
        <v>50</v>
      </c>
      <c r="L35" s="13"/>
      <c r="M35" s="13"/>
      <c r="N35" s="13"/>
      <c r="O35" s="13"/>
      <c r="P35" s="234"/>
      <c r="Q35" s="235"/>
      <c r="R35" s="235"/>
      <c r="S35" s="235"/>
      <c r="T35" s="236"/>
      <c r="U35" s="12" t="s">
        <v>75</v>
      </c>
      <c r="X35" s="4" t="str">
        <f>'Life Cycle Data Worksheet'!H8</f>
        <v>(from Initial Information)</v>
      </c>
      <c r="AD35" s="46"/>
    </row>
    <row r="36" spans="1:30" x14ac:dyDescent="0.35">
      <c r="A36" s="58" t="str">
        <f>'Life Cycle Data Worksheet'!A48</f>
        <v>(Select)</v>
      </c>
      <c r="C36" s="46"/>
      <c r="D36" s="12"/>
      <c r="F36" s="12"/>
      <c r="H36" s="12"/>
      <c r="J36" s="46"/>
      <c r="K36" s="50" t="s">
        <v>51</v>
      </c>
      <c r="L36" s="66"/>
      <c r="M36" s="66"/>
      <c r="N36" s="66"/>
      <c r="O36" s="66"/>
      <c r="P36" s="225" t="s">
        <v>378</v>
      </c>
      <c r="Q36" s="226"/>
      <c r="R36" s="226"/>
      <c r="S36" s="226"/>
      <c r="T36" s="227"/>
      <c r="U36" s="12" t="s">
        <v>77</v>
      </c>
      <c r="AD36" s="46"/>
    </row>
    <row r="37" spans="1:30" x14ac:dyDescent="0.35">
      <c r="A37" s="58" t="str">
        <f>'Life Cycle Data Worksheet'!A49</f>
        <v>(Select)</v>
      </c>
      <c r="C37" s="46"/>
      <c r="D37" s="12"/>
      <c r="F37" s="12"/>
      <c r="H37" s="12"/>
      <c r="J37" s="46"/>
      <c r="K37" s="50" t="s">
        <v>52</v>
      </c>
      <c r="L37" s="66"/>
      <c r="M37" s="66"/>
      <c r="N37" s="66"/>
      <c r="O37" s="66"/>
      <c r="P37" s="225" t="s">
        <v>378</v>
      </c>
      <c r="Q37" s="226"/>
      <c r="R37" s="226"/>
      <c r="S37" s="226"/>
      <c r="T37" s="227"/>
      <c r="U37" s="12" t="s">
        <v>75</v>
      </c>
      <c r="X37" s="4" t="str">
        <f>'Life Cycle Data Worksheet'!H5</f>
        <v>(Select)</v>
      </c>
      <c r="AD37" s="46"/>
    </row>
    <row r="38" spans="1:30" x14ac:dyDescent="0.35">
      <c r="A38" s="58" t="str">
        <f>'Life Cycle Data Worksheet'!A50</f>
        <v>(Select)</v>
      </c>
      <c r="C38" s="46"/>
      <c r="D38" s="12"/>
      <c r="F38" s="12"/>
      <c r="H38" s="12"/>
      <c r="J38" s="46"/>
      <c r="K38" s="50" t="s">
        <v>53</v>
      </c>
      <c r="L38" s="66"/>
      <c r="M38" s="66"/>
      <c r="N38" s="66"/>
      <c r="O38" s="66"/>
      <c r="P38" s="225" t="s">
        <v>378</v>
      </c>
      <c r="Q38" s="226"/>
      <c r="R38" s="226"/>
      <c r="S38" s="226"/>
      <c r="T38" s="227"/>
      <c r="U38" s="12" t="s">
        <v>76</v>
      </c>
      <c r="AD38" s="46"/>
    </row>
    <row r="39" spans="1:30" x14ac:dyDescent="0.35">
      <c r="A39" s="58" t="str">
        <f>'Life Cycle Data Worksheet'!E45</f>
        <v>(Select)</v>
      </c>
      <c r="D39" s="58"/>
      <c r="F39" s="12"/>
      <c r="H39" s="12"/>
      <c r="J39" s="46"/>
      <c r="K39" s="50" t="s">
        <v>54</v>
      </c>
      <c r="L39" s="66"/>
      <c r="M39" s="66"/>
      <c r="N39" s="66"/>
      <c r="O39" s="66"/>
      <c r="P39" s="225" t="s">
        <v>378</v>
      </c>
      <c r="Q39" s="226"/>
      <c r="R39" s="226"/>
      <c r="S39" s="226"/>
      <c r="T39" s="227"/>
      <c r="U39" s="12" t="s">
        <v>75</v>
      </c>
      <c r="X39" s="4" t="str">
        <f>'Life Cycle Data Worksheet'!H6</f>
        <v>(Select)</v>
      </c>
      <c r="AD39" s="46"/>
    </row>
    <row r="40" spans="1:30" x14ac:dyDescent="0.35">
      <c r="A40" s="58" t="str">
        <f>'Life Cycle Data Worksheet'!E46</f>
        <v>(Select)</v>
      </c>
      <c r="D40" s="12"/>
      <c r="F40" s="12"/>
      <c r="H40" s="12"/>
      <c r="J40" s="46"/>
      <c r="K40" s="50" t="s">
        <v>55</v>
      </c>
      <c r="L40" s="66"/>
      <c r="M40" s="66"/>
      <c r="N40" s="66"/>
      <c r="O40" s="66"/>
      <c r="P40" s="225" t="s">
        <v>378</v>
      </c>
      <c r="Q40" s="226"/>
      <c r="R40" s="226"/>
      <c r="S40" s="226"/>
      <c r="T40" s="227"/>
      <c r="U40" s="45" t="s">
        <v>80</v>
      </c>
      <c r="AD40" s="46"/>
    </row>
    <row r="41" spans="1:30" x14ac:dyDescent="0.35">
      <c r="A41" s="58" t="str">
        <f>'Life Cycle Data Worksheet'!E47</f>
        <v>(Select)</v>
      </c>
      <c r="D41" s="12"/>
      <c r="F41" s="12"/>
      <c r="H41" s="12"/>
      <c r="J41" s="46"/>
      <c r="K41" s="50" t="s">
        <v>56</v>
      </c>
      <c r="L41" s="66"/>
      <c r="M41" s="66"/>
      <c r="N41" s="66"/>
      <c r="O41" s="66"/>
      <c r="P41" s="225" t="s">
        <v>378</v>
      </c>
      <c r="Q41" s="226"/>
      <c r="R41" s="226"/>
      <c r="S41" s="226"/>
      <c r="T41" s="227"/>
      <c r="U41" s="12" t="s">
        <v>78</v>
      </c>
      <c r="AD41" s="46"/>
    </row>
    <row r="42" spans="1:30" x14ac:dyDescent="0.35">
      <c r="A42" s="58" t="str">
        <f>'Life Cycle Data Worksheet'!E48</f>
        <v>(Select)</v>
      </c>
      <c r="D42" s="12"/>
      <c r="F42" s="12"/>
      <c r="H42" s="12"/>
      <c r="J42" s="46"/>
      <c r="K42" s="50" t="s">
        <v>297</v>
      </c>
      <c r="L42" s="66"/>
      <c r="M42" s="66"/>
      <c r="N42" s="66"/>
      <c r="O42" s="66"/>
      <c r="P42" s="225" t="s">
        <v>378</v>
      </c>
      <c r="Q42" s="226"/>
      <c r="R42" s="226"/>
      <c r="S42" s="226"/>
      <c r="T42" s="227"/>
      <c r="U42" s="58" t="s">
        <v>389</v>
      </c>
      <c r="AD42" s="46"/>
    </row>
    <row r="43" spans="1:30" x14ac:dyDescent="0.35">
      <c r="A43" s="58" t="str">
        <f>'Life Cycle Data Worksheet'!E49</f>
        <v>(Select)</v>
      </c>
      <c r="D43" s="12"/>
      <c r="F43" s="12"/>
      <c r="H43" s="12"/>
      <c r="J43" s="46"/>
      <c r="K43" s="50" t="s">
        <v>57</v>
      </c>
      <c r="L43" s="66"/>
      <c r="M43" s="66"/>
      <c r="N43" s="66"/>
      <c r="O43" s="66"/>
      <c r="P43" s="225" t="s">
        <v>378</v>
      </c>
      <c r="Q43" s="226"/>
      <c r="R43" s="226"/>
      <c r="S43" s="226"/>
      <c r="T43" s="227"/>
      <c r="U43" s="58" t="s">
        <v>390</v>
      </c>
      <c r="AD43" s="46"/>
    </row>
    <row r="44" spans="1:30" x14ac:dyDescent="0.35">
      <c r="A44" s="58" t="str">
        <f>'Life Cycle Data Worksheet'!E50</f>
        <v>(Select)</v>
      </c>
      <c r="D44" s="12"/>
      <c r="F44" s="12"/>
      <c r="H44" s="12"/>
      <c r="J44" s="46"/>
      <c r="K44" s="50" t="s">
        <v>58</v>
      </c>
      <c r="L44" s="66"/>
      <c r="M44" s="66"/>
      <c r="N44" s="66"/>
      <c r="O44" s="66"/>
      <c r="P44" s="225" t="s">
        <v>378</v>
      </c>
      <c r="Q44" s="226"/>
      <c r="R44" s="226"/>
      <c r="S44" s="226"/>
      <c r="T44" s="227"/>
      <c r="U44" s="58" t="s">
        <v>391</v>
      </c>
      <c r="AD44" s="46"/>
    </row>
    <row r="45" spans="1:30" x14ac:dyDescent="0.35">
      <c r="A45" s="12"/>
      <c r="D45" s="12"/>
      <c r="F45" s="12"/>
      <c r="H45" s="12"/>
      <c r="J45" s="46"/>
      <c r="K45" s="50" t="s">
        <v>59</v>
      </c>
      <c r="L45" s="66"/>
      <c r="M45" s="66"/>
      <c r="N45" s="66"/>
      <c r="O45" s="66"/>
      <c r="P45" s="225" t="s">
        <v>378</v>
      </c>
      <c r="Q45" s="226"/>
      <c r="R45" s="226"/>
      <c r="S45" s="226"/>
      <c r="T45" s="227"/>
      <c r="U45" s="12" t="s">
        <v>79</v>
      </c>
      <c r="AD45" s="46"/>
    </row>
    <row r="46" spans="1:30" x14ac:dyDescent="0.35">
      <c r="A46" s="14"/>
      <c r="B46" s="13"/>
      <c r="C46" s="13"/>
      <c r="D46" s="14"/>
      <c r="E46" s="13"/>
      <c r="F46" s="14"/>
      <c r="G46" s="13"/>
      <c r="H46" s="14"/>
      <c r="I46" s="13"/>
      <c r="J46" s="23"/>
      <c r="K46" s="14" t="s">
        <v>60</v>
      </c>
      <c r="L46" s="13"/>
      <c r="M46" s="13"/>
      <c r="N46" s="13"/>
      <c r="O46" s="13"/>
      <c r="P46" s="228"/>
      <c r="Q46" s="229"/>
      <c r="R46" s="229"/>
      <c r="S46" s="229"/>
      <c r="T46" s="230"/>
      <c r="U46" s="98" t="s">
        <v>359</v>
      </c>
      <c r="V46" s="13"/>
      <c r="W46" s="13"/>
      <c r="X46" s="13"/>
      <c r="Y46" s="13"/>
      <c r="Z46" s="13"/>
      <c r="AA46" s="13"/>
      <c r="AB46" s="13"/>
      <c r="AC46" s="13"/>
      <c r="AD46" s="23"/>
    </row>
    <row r="48" spans="1:30" x14ac:dyDescent="0.35">
      <c r="P48" s="1" t="s">
        <v>298</v>
      </c>
    </row>
    <row r="49" spans="16:16" x14ac:dyDescent="0.35">
      <c r="P49" t="s">
        <v>377</v>
      </c>
    </row>
    <row r="50" spans="16:16" x14ac:dyDescent="0.35">
      <c r="P50" t="s">
        <v>379</v>
      </c>
    </row>
    <row r="51" spans="16:16" x14ac:dyDescent="0.35">
      <c r="P51" t="s">
        <v>378</v>
      </c>
    </row>
  </sheetData>
  <mergeCells count="29">
    <mergeCell ref="U1:AD1"/>
    <mergeCell ref="X19:Y19"/>
    <mergeCell ref="Z19:AA19"/>
    <mergeCell ref="AB19:AD19"/>
    <mergeCell ref="X17:Y17"/>
    <mergeCell ref="Z17:AA17"/>
    <mergeCell ref="AB17:AD17"/>
    <mergeCell ref="Z3:AD3"/>
    <mergeCell ref="Z4:AD4"/>
    <mergeCell ref="Z5:AD5"/>
    <mergeCell ref="Z6:AD6"/>
    <mergeCell ref="Z7:AD7"/>
    <mergeCell ref="P44:T44"/>
    <mergeCell ref="P45:T45"/>
    <mergeCell ref="P46:T46"/>
    <mergeCell ref="P34:T35"/>
    <mergeCell ref="P39:T39"/>
    <mergeCell ref="P40:T40"/>
    <mergeCell ref="P41:T41"/>
    <mergeCell ref="P42:T42"/>
    <mergeCell ref="P43:T43"/>
    <mergeCell ref="P36:T36"/>
    <mergeCell ref="P37:T37"/>
    <mergeCell ref="P38:T38"/>
    <mergeCell ref="A1:J1"/>
    <mergeCell ref="P33:T33"/>
    <mergeCell ref="P32:T32"/>
    <mergeCell ref="A12:J12"/>
    <mergeCell ref="K1:T1"/>
  </mergeCells>
  <dataValidations count="3">
    <dataValidation type="list" allowBlank="1" showInputMessage="1" showErrorMessage="1" sqref="P34:T45 Z3:AD3" xr:uid="{CF4BE482-52C8-4099-AB75-304B0E4D84A7}">
      <formula1>$P$49:$P$51</formula1>
    </dataValidation>
    <dataValidation type="list" allowBlank="1" showInputMessage="1" showErrorMessage="1" sqref="X17:AD17" xr:uid="{BB5D4FA1-9BB6-486D-88E6-4E15A2E95B21}">
      <formula1>$AF$16:$AF$17</formula1>
    </dataValidation>
    <dataValidation type="list" allowBlank="1" showInputMessage="1" showErrorMessage="1" sqref="Z19:AD19" xr:uid="{F76FCD47-C46F-448A-8D4A-9498FE7CD75B}">
      <formula1>$AF$16:$AF$18</formula1>
    </dataValidation>
  </dataValidations>
  <pageMargins left="0.7" right="0.7" top="0.75" bottom="0.75" header="0.3" footer="0.3"/>
  <pageSetup scale="95" orientation="portrait" r:id="rId1"/>
  <colBreaks count="1" manualBreakCount="1">
    <brk id="10" max="4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F130-0A38-4EA6-A38C-8B655D0F7EF4}">
  <dimension ref="A1:S54"/>
  <sheetViews>
    <sheetView view="pageBreakPreview" zoomScaleNormal="100" zoomScaleSheetLayoutView="100" workbookViewId="0">
      <selection activeCell="C18" sqref="C18"/>
    </sheetView>
  </sheetViews>
  <sheetFormatPr defaultRowHeight="14.5" x14ac:dyDescent="0.35"/>
  <cols>
    <col min="1" max="1" width="3.6328125" customWidth="1"/>
    <col min="2" max="2" width="17.6328125" customWidth="1"/>
    <col min="3" max="3" width="24.7265625" customWidth="1"/>
    <col min="4" max="6" width="8.7265625" customWidth="1"/>
    <col min="8" max="8" width="26.81640625" customWidth="1"/>
    <col min="9" max="9" width="3.6328125" customWidth="1"/>
    <col min="10" max="10" width="17.6328125" customWidth="1"/>
    <col min="11" max="11" width="24.7265625" customWidth="1"/>
    <col min="16" max="16" width="26.81640625" customWidth="1"/>
  </cols>
  <sheetData>
    <row r="1" spans="1:18" ht="19" thickBot="1" x14ac:dyDescent="0.5">
      <c r="A1" s="237" t="s">
        <v>226</v>
      </c>
      <c r="B1" s="238"/>
      <c r="C1" s="238"/>
      <c r="D1" s="238"/>
      <c r="E1" s="238"/>
      <c r="F1" s="238"/>
      <c r="G1" s="238"/>
      <c r="H1" s="239"/>
      <c r="I1" s="237" t="s">
        <v>226</v>
      </c>
      <c r="J1" s="238"/>
      <c r="K1" s="238"/>
      <c r="L1" s="238"/>
      <c r="M1" s="238"/>
      <c r="N1" s="238"/>
      <c r="O1" s="238"/>
      <c r="P1" s="239"/>
      <c r="R1" s="34" t="s">
        <v>13</v>
      </c>
    </row>
    <row r="2" spans="1:18" x14ac:dyDescent="0.35">
      <c r="A2" s="69" t="s">
        <v>110</v>
      </c>
      <c r="C2" s="6" t="str">
        <f>'Life Cycle Data Worksheet'!C2</f>
        <v>Muncie Family Physicians</v>
      </c>
      <c r="G2" s="62" t="s">
        <v>4</v>
      </c>
      <c r="H2" s="142">
        <f>'Life Cycle Data Worksheet'!H2</f>
        <v>46209</v>
      </c>
      <c r="I2" s="45" t="s">
        <v>265</v>
      </c>
      <c r="K2" s="7"/>
      <c r="P2" s="46"/>
      <c r="R2" s="3" t="s">
        <v>299</v>
      </c>
    </row>
    <row r="3" spans="1:18" ht="14.5" customHeight="1" x14ac:dyDescent="0.45">
      <c r="A3" s="69" t="s">
        <v>6</v>
      </c>
      <c r="C3" s="6" t="str">
        <f>'Life Cycle Data Worksheet'!C3</f>
        <v>(from Initial Information)</v>
      </c>
      <c r="G3" s="57" t="s">
        <v>194</v>
      </c>
      <c r="H3" s="116" t="str">
        <f>'Life Cycle Data Worksheet'!H3</f>
        <v>(Must be Requested)</v>
      </c>
      <c r="I3" s="12"/>
      <c r="J3" s="3" t="s">
        <v>404</v>
      </c>
      <c r="L3" s="2"/>
      <c r="M3" s="2"/>
      <c r="N3" s="2"/>
      <c r="O3" s="2"/>
      <c r="P3" s="107"/>
      <c r="Q3" s="2"/>
      <c r="R3" s="6" t="s">
        <v>14</v>
      </c>
    </row>
    <row r="4" spans="1:18" x14ac:dyDescent="0.35">
      <c r="A4" s="12"/>
      <c r="C4" s="126"/>
      <c r="H4" s="116"/>
      <c r="I4" s="12"/>
      <c r="P4" s="46"/>
      <c r="R4" t="s">
        <v>15</v>
      </c>
    </row>
    <row r="5" spans="1:18" x14ac:dyDescent="0.35">
      <c r="A5" s="69" t="s">
        <v>7</v>
      </c>
      <c r="C5" s="6" t="str">
        <f>'Life Cycle Data Worksheet'!C5</f>
        <v>(Select)</v>
      </c>
      <c r="G5" s="57" t="s">
        <v>8</v>
      </c>
      <c r="H5" s="116" t="str">
        <f>'Life Cycle Data Worksheet'!H5</f>
        <v>(Select)</v>
      </c>
      <c r="I5" s="12"/>
      <c r="P5" s="46"/>
      <c r="R5" s="7" t="s">
        <v>16</v>
      </c>
    </row>
    <row r="6" spans="1:18" x14ac:dyDescent="0.35">
      <c r="A6" s="69" t="s">
        <v>10</v>
      </c>
      <c r="C6" s="6" t="str">
        <f>'Life Cycle Data Worksheet'!C6</f>
        <v>(Select)</v>
      </c>
      <c r="G6" s="57" t="s">
        <v>9</v>
      </c>
      <c r="H6" s="116" t="str">
        <f>'Life Cycle Data Worksheet'!H6</f>
        <v>(Select)</v>
      </c>
      <c r="I6" s="12"/>
      <c r="P6" s="46"/>
      <c r="R6" s="7"/>
    </row>
    <row r="7" spans="1:18" x14ac:dyDescent="0.35">
      <c r="A7" s="72" t="s">
        <v>345</v>
      </c>
      <c r="C7" s="6" t="str">
        <f>'Life Cycle Data Worksheet'!C7</f>
        <v>(Select)</v>
      </c>
      <c r="G7" s="57" t="s">
        <v>171</v>
      </c>
      <c r="H7" s="116" t="str">
        <f>'Life Cycle Data Worksheet'!H7</f>
        <v>(from Initial Information)</v>
      </c>
      <c r="I7" s="12"/>
      <c r="P7" s="46"/>
    </row>
    <row r="8" spans="1:18" x14ac:dyDescent="0.35">
      <c r="A8" s="45" t="s">
        <v>347</v>
      </c>
      <c r="C8" s="6" t="str">
        <f>'Life Cycle Data Worksheet'!C8</f>
        <v>(Select)</v>
      </c>
      <c r="G8" s="57" t="s">
        <v>172</v>
      </c>
      <c r="H8" s="116" t="str">
        <f>'Life Cycle Data Worksheet'!H8</f>
        <v>(from Initial Information)</v>
      </c>
      <c r="I8" s="12"/>
      <c r="P8" s="46"/>
    </row>
    <row r="9" spans="1:18" ht="18.5" x14ac:dyDescent="0.45">
      <c r="A9" s="240" t="s">
        <v>268</v>
      </c>
      <c r="B9" s="241"/>
      <c r="C9" s="241"/>
      <c r="D9" s="241"/>
      <c r="E9" s="241"/>
      <c r="F9" s="241"/>
      <c r="G9" s="241"/>
      <c r="H9" s="242"/>
      <c r="I9" s="12"/>
      <c r="P9" s="46"/>
      <c r="R9" s="35" t="s">
        <v>228</v>
      </c>
    </row>
    <row r="10" spans="1:18" x14ac:dyDescent="0.35">
      <c r="A10" s="69" t="s">
        <v>108</v>
      </c>
      <c r="C10" t="str">
        <f>'Life Cycle Data Worksheet'!C10</f>
        <v>(Select)</v>
      </c>
      <c r="E10" s="1" t="s">
        <v>351</v>
      </c>
      <c r="F10" s="3" t="str">
        <f>I11</f>
        <v>Deficiency Report</v>
      </c>
      <c r="H10" s="46"/>
      <c r="I10" s="14"/>
      <c r="J10" s="13"/>
      <c r="K10" s="13"/>
      <c r="L10" s="13"/>
      <c r="M10" s="13"/>
      <c r="N10" s="13"/>
      <c r="O10" s="13"/>
      <c r="P10" s="23"/>
      <c r="R10" s="38" t="s">
        <v>229</v>
      </c>
    </row>
    <row r="11" spans="1:18" x14ac:dyDescent="0.35">
      <c r="A11" s="69" t="s">
        <v>168</v>
      </c>
      <c r="C11" t="str">
        <f>'Life Cycle Data Worksheet'!C11</f>
        <v>(Consult w/Project Leader)</v>
      </c>
      <c r="H11" s="46"/>
      <c r="I11" s="108" t="s">
        <v>403</v>
      </c>
      <c r="P11" s="46"/>
      <c r="R11" s="37" t="s">
        <v>230</v>
      </c>
    </row>
    <row r="12" spans="1:18" x14ac:dyDescent="0.35">
      <c r="A12" s="69" t="s">
        <v>169</v>
      </c>
      <c r="C12" t="str">
        <f>'Life Cycle Data Worksheet'!C12</f>
        <v>(from Design Schedule)</v>
      </c>
      <c r="H12" s="46"/>
      <c r="I12" s="12"/>
      <c r="J12" s="3" t="s">
        <v>404</v>
      </c>
      <c r="P12" s="46"/>
      <c r="R12" s="37" t="s">
        <v>231</v>
      </c>
    </row>
    <row r="13" spans="1:18" x14ac:dyDescent="0.35">
      <c r="A13" s="69" t="s">
        <v>122</v>
      </c>
      <c r="C13" t="str">
        <f>'Life Cycle Data Worksheet'!C13</f>
        <v>(Select)</v>
      </c>
      <c r="E13" s="1"/>
      <c r="H13" s="46"/>
      <c r="I13" s="12"/>
      <c r="P13" s="46"/>
      <c r="R13" s="38" t="s">
        <v>232</v>
      </c>
    </row>
    <row r="14" spans="1:18" x14ac:dyDescent="0.35">
      <c r="A14" s="12"/>
      <c r="H14" s="46"/>
      <c r="I14" s="12"/>
      <c r="P14" s="46"/>
      <c r="R14" s="36" t="s">
        <v>233</v>
      </c>
    </row>
    <row r="15" spans="1:18" ht="18.5" x14ac:dyDescent="0.45">
      <c r="A15" s="240" t="s">
        <v>322</v>
      </c>
      <c r="B15" s="241"/>
      <c r="C15" s="241"/>
      <c r="D15" s="241"/>
      <c r="E15" s="241"/>
      <c r="F15" s="241"/>
      <c r="G15" s="241"/>
      <c r="H15" s="242"/>
      <c r="I15" s="12"/>
      <c r="P15" s="46"/>
      <c r="R15" s="37" t="s">
        <v>234</v>
      </c>
    </row>
    <row r="16" spans="1:18" x14ac:dyDescent="0.35">
      <c r="A16" s="69" t="s">
        <v>254</v>
      </c>
      <c r="H16" s="46"/>
      <c r="I16" s="12"/>
      <c r="P16" s="46"/>
      <c r="R16" s="37" t="s">
        <v>235</v>
      </c>
    </row>
    <row r="17" spans="1:18" x14ac:dyDescent="0.35">
      <c r="A17" s="12" t="s">
        <v>247</v>
      </c>
      <c r="C17" s="9">
        <f>'Design Schedule'!F18</f>
        <v>0</v>
      </c>
      <c r="G17" s="152" t="s">
        <v>248</v>
      </c>
      <c r="H17" s="70">
        <f>'Design Schedule'!H18</f>
        <v>0</v>
      </c>
      <c r="I17" s="12"/>
      <c r="P17" s="46"/>
      <c r="R17" s="36" t="s">
        <v>236</v>
      </c>
    </row>
    <row r="18" spans="1:18" x14ac:dyDescent="0.35">
      <c r="A18" s="11" t="s">
        <v>252</v>
      </c>
      <c r="C18" s="4" t="s">
        <v>324</v>
      </c>
      <c r="G18" s="153" t="s">
        <v>117</v>
      </c>
      <c r="H18" s="70">
        <f>'Design Schedule'!F19</f>
        <v>0</v>
      </c>
      <c r="I18" s="12"/>
      <c r="P18" s="46"/>
      <c r="R18" s="37" t="s">
        <v>237</v>
      </c>
    </row>
    <row r="19" spans="1:18" x14ac:dyDescent="0.35">
      <c r="A19" s="12" t="s">
        <v>246</v>
      </c>
      <c r="B19" s="3"/>
      <c r="C19" s="4" t="s">
        <v>405</v>
      </c>
      <c r="H19" s="46"/>
      <c r="I19" s="12"/>
      <c r="P19" s="46"/>
      <c r="R19" s="36" t="s">
        <v>238</v>
      </c>
    </row>
    <row r="20" spans="1:18" x14ac:dyDescent="0.35">
      <c r="A20" s="14" t="s">
        <v>250</v>
      </c>
      <c r="B20" s="76"/>
      <c r="C20" s="143" t="s">
        <v>325</v>
      </c>
      <c r="D20" s="13"/>
      <c r="E20" s="13"/>
      <c r="F20" s="13"/>
      <c r="G20" s="105" t="s">
        <v>251</v>
      </c>
      <c r="H20" s="144" t="s">
        <v>325</v>
      </c>
      <c r="I20" s="12"/>
      <c r="P20" s="46"/>
      <c r="R20" s="36" t="s">
        <v>239</v>
      </c>
    </row>
    <row r="21" spans="1:18" x14ac:dyDescent="0.35">
      <c r="A21" s="45" t="s">
        <v>245</v>
      </c>
      <c r="H21" s="46"/>
      <c r="I21" s="12"/>
      <c r="P21" s="46"/>
      <c r="R21" s="36" t="s">
        <v>240</v>
      </c>
    </row>
    <row r="22" spans="1:18" x14ac:dyDescent="0.35">
      <c r="A22" s="12" t="s">
        <v>247</v>
      </c>
      <c r="C22" s="9">
        <f>'Design Schedule'!F35</f>
        <v>0</v>
      </c>
      <c r="G22" s="152" t="s">
        <v>248</v>
      </c>
      <c r="H22" s="70">
        <f>'Design Schedule'!H35</f>
        <v>0</v>
      </c>
      <c r="I22" s="12"/>
      <c r="P22" s="46"/>
    </row>
    <row r="23" spans="1:18" x14ac:dyDescent="0.35">
      <c r="A23" s="11" t="s">
        <v>252</v>
      </c>
      <c r="C23" s="4" t="s">
        <v>324</v>
      </c>
      <c r="G23" s="153" t="s">
        <v>117</v>
      </c>
      <c r="H23" s="70">
        <f>'Design Schedule'!F36</f>
        <v>0</v>
      </c>
      <c r="I23" s="12"/>
      <c r="P23" s="46"/>
    </row>
    <row r="24" spans="1:18" x14ac:dyDescent="0.35">
      <c r="A24" s="12" t="s">
        <v>246</v>
      </c>
      <c r="B24" s="3"/>
      <c r="H24" s="46"/>
      <c r="I24" s="12"/>
      <c r="P24" s="46"/>
      <c r="R24" s="36" t="s">
        <v>242</v>
      </c>
    </row>
    <row r="25" spans="1:18" x14ac:dyDescent="0.35">
      <c r="A25" s="14" t="s">
        <v>250</v>
      </c>
      <c r="B25" s="76"/>
      <c r="C25" s="13"/>
      <c r="D25" s="13"/>
      <c r="E25" s="13"/>
      <c r="F25" s="13"/>
      <c r="G25" s="105" t="s">
        <v>251</v>
      </c>
      <c r="H25" s="144" t="s">
        <v>325</v>
      </c>
      <c r="I25" s="12"/>
      <c r="L25" s="154"/>
      <c r="P25" s="46"/>
      <c r="R25" s="36" t="s">
        <v>243</v>
      </c>
    </row>
    <row r="26" spans="1:18" x14ac:dyDescent="0.35">
      <c r="A26" s="45" t="s">
        <v>249</v>
      </c>
      <c r="H26" s="46"/>
      <c r="I26" s="12"/>
      <c r="P26" s="46"/>
      <c r="R26" s="36"/>
    </row>
    <row r="27" spans="1:18" x14ac:dyDescent="0.35">
      <c r="A27" s="12" t="s">
        <v>247</v>
      </c>
      <c r="C27" s="9">
        <f>'Design Schedule'!F48</f>
        <v>0</v>
      </c>
      <c r="G27" s="152" t="s">
        <v>248</v>
      </c>
      <c r="H27" s="70">
        <f>'Design Schedule'!H48</f>
        <v>0</v>
      </c>
      <c r="I27" s="12"/>
      <c r="P27" s="46"/>
      <c r="R27" s="36" t="s">
        <v>244</v>
      </c>
    </row>
    <row r="28" spans="1:18" x14ac:dyDescent="0.35">
      <c r="A28" s="11" t="s">
        <v>252</v>
      </c>
      <c r="C28" s="4" t="s">
        <v>324</v>
      </c>
      <c r="G28" s="153" t="s">
        <v>117</v>
      </c>
      <c r="H28" s="70">
        <f>'Design Schedule'!F49</f>
        <v>0</v>
      </c>
      <c r="I28" s="12"/>
      <c r="P28" s="46"/>
    </row>
    <row r="29" spans="1:18" x14ac:dyDescent="0.35">
      <c r="A29" s="12" t="s">
        <v>246</v>
      </c>
      <c r="B29" s="3"/>
      <c r="C29" s="4" t="s">
        <v>405</v>
      </c>
      <c r="H29" s="46"/>
      <c r="I29" s="12"/>
      <c r="P29" s="46"/>
    </row>
    <row r="30" spans="1:18" x14ac:dyDescent="0.35">
      <c r="A30" s="12" t="s">
        <v>250</v>
      </c>
      <c r="B30" s="3"/>
      <c r="C30" s="4" t="s">
        <v>325</v>
      </c>
      <c r="G30" s="153" t="s">
        <v>251</v>
      </c>
      <c r="H30" s="120" t="s">
        <v>325</v>
      </c>
      <c r="I30" s="12"/>
      <c r="P30" s="46"/>
    </row>
    <row r="31" spans="1:18" x14ac:dyDescent="0.35">
      <c r="A31" s="106" t="s">
        <v>232</v>
      </c>
      <c r="B31" s="76"/>
      <c r="C31" s="13"/>
      <c r="D31" s="13"/>
      <c r="E31" s="76" t="str">
        <f>'Life Cycle Data Worksheet'!H25</f>
        <v>(Requested Data)</v>
      </c>
      <c r="F31" s="13"/>
      <c r="G31" s="13"/>
      <c r="H31" s="23"/>
      <c r="I31" s="12"/>
      <c r="P31" s="46"/>
    </row>
    <row r="32" spans="1:18" x14ac:dyDescent="0.35">
      <c r="A32" s="45" t="s">
        <v>253</v>
      </c>
      <c r="H32" s="46"/>
      <c r="I32" s="14"/>
      <c r="J32" s="13"/>
      <c r="K32" s="13"/>
      <c r="L32" s="13"/>
      <c r="M32" s="13"/>
      <c r="N32" s="13"/>
      <c r="O32" s="13"/>
      <c r="P32" s="23"/>
    </row>
    <row r="33" spans="1:19" x14ac:dyDescent="0.35">
      <c r="A33" s="12" t="s">
        <v>247</v>
      </c>
      <c r="C33" s="9">
        <f>'Design Schedule'!O17</f>
        <v>0</v>
      </c>
      <c r="G33" s="152" t="s">
        <v>248</v>
      </c>
      <c r="H33" s="70">
        <f>'Design Schedule'!Q17</f>
        <v>0</v>
      </c>
      <c r="I33" s="108" t="s">
        <v>0</v>
      </c>
      <c r="P33" s="46"/>
    </row>
    <row r="34" spans="1:19" x14ac:dyDescent="0.35">
      <c r="A34" s="11" t="s">
        <v>252</v>
      </c>
      <c r="C34" s="4" t="s">
        <v>324</v>
      </c>
      <c r="G34" s="153" t="s">
        <v>117</v>
      </c>
      <c r="H34" s="70">
        <f>'Design Schedule'!O18</f>
        <v>0</v>
      </c>
      <c r="I34" s="12"/>
      <c r="J34" s="3" t="s">
        <v>404</v>
      </c>
      <c r="P34" s="46"/>
    </row>
    <row r="35" spans="1:19" ht="18.5" x14ac:dyDescent="0.45">
      <c r="A35" s="12" t="s">
        <v>246</v>
      </c>
      <c r="B35" s="3"/>
      <c r="C35" s="4" t="s">
        <v>405</v>
      </c>
      <c r="H35" s="46"/>
      <c r="I35" s="12"/>
      <c r="P35" s="46"/>
      <c r="R35" s="2"/>
      <c r="S35" s="2"/>
    </row>
    <row r="36" spans="1:19" x14ac:dyDescent="0.35">
      <c r="A36" s="12" t="s">
        <v>250</v>
      </c>
      <c r="B36" s="3"/>
      <c r="C36" s="143" t="s">
        <v>325</v>
      </c>
      <c r="G36" s="153" t="s">
        <v>251</v>
      </c>
      <c r="H36" s="120" t="s">
        <v>325</v>
      </c>
      <c r="I36" s="12"/>
      <c r="P36" s="46"/>
    </row>
    <row r="37" spans="1:19" x14ac:dyDescent="0.35">
      <c r="A37" s="106" t="s">
        <v>232</v>
      </c>
      <c r="B37" s="13"/>
      <c r="C37" s="13"/>
      <c r="D37" s="13"/>
      <c r="E37" s="76" t="str">
        <f>'Life Cycle Data Worksheet'!H25</f>
        <v>(Requested Data)</v>
      </c>
      <c r="F37" s="13"/>
      <c r="G37" s="13"/>
      <c r="H37" s="23"/>
      <c r="I37" s="12"/>
      <c r="P37" s="46"/>
    </row>
    <row r="38" spans="1:19" x14ac:dyDescent="0.35">
      <c r="A38" s="45" t="s">
        <v>255</v>
      </c>
      <c r="H38" s="46"/>
      <c r="I38" s="14"/>
      <c r="J38" s="13"/>
      <c r="K38" s="13"/>
      <c r="L38" s="13"/>
      <c r="M38" s="13"/>
      <c r="N38" s="13"/>
      <c r="O38" s="13"/>
      <c r="P38" s="23"/>
    </row>
    <row r="39" spans="1:19" x14ac:dyDescent="0.35">
      <c r="A39" s="12" t="s">
        <v>247</v>
      </c>
      <c r="C39" s="9">
        <f>'Design Schedule'!O35</f>
        <v>0</v>
      </c>
      <c r="G39" s="152" t="s">
        <v>248</v>
      </c>
      <c r="H39" s="70">
        <f>'Design Schedule'!Q35</f>
        <v>0</v>
      </c>
      <c r="I39" s="108" t="s">
        <v>241</v>
      </c>
      <c r="P39" s="46"/>
    </row>
    <row r="40" spans="1:19" x14ac:dyDescent="0.35">
      <c r="A40" s="11" t="s">
        <v>252</v>
      </c>
      <c r="C40" s="4" t="s">
        <v>324</v>
      </c>
      <c r="G40" s="153" t="s">
        <v>117</v>
      </c>
      <c r="H40" s="70">
        <f>'Design Schedule'!O36</f>
        <v>0</v>
      </c>
      <c r="I40" s="12"/>
      <c r="J40" s="3" t="s">
        <v>404</v>
      </c>
      <c r="P40" s="46"/>
    </row>
    <row r="41" spans="1:19" x14ac:dyDescent="0.35">
      <c r="A41" s="12" t="s">
        <v>246</v>
      </c>
      <c r="B41" s="3"/>
      <c r="C41" s="4" t="s">
        <v>405</v>
      </c>
      <c r="H41" s="46"/>
      <c r="I41" s="12"/>
      <c r="P41" s="46"/>
    </row>
    <row r="42" spans="1:19" x14ac:dyDescent="0.35">
      <c r="A42" s="145" t="s">
        <v>260</v>
      </c>
      <c r="B42" s="3"/>
      <c r="H42" s="46"/>
      <c r="I42" s="12"/>
      <c r="P42" s="46"/>
    </row>
    <row r="43" spans="1:19" x14ac:dyDescent="0.35">
      <c r="A43" s="14" t="s">
        <v>250</v>
      </c>
      <c r="B43" s="76"/>
      <c r="C43" s="143" t="s">
        <v>325</v>
      </c>
      <c r="D43" s="13"/>
      <c r="E43" s="13"/>
      <c r="F43" s="13"/>
      <c r="G43" s="105" t="s">
        <v>251</v>
      </c>
      <c r="H43" s="144" t="s">
        <v>325</v>
      </c>
      <c r="I43" s="12"/>
      <c r="P43" s="46"/>
    </row>
    <row r="44" spans="1:19" x14ac:dyDescent="0.35">
      <c r="A44" s="45" t="s">
        <v>256</v>
      </c>
      <c r="H44" s="46"/>
      <c r="I44" s="12"/>
      <c r="P44" s="46"/>
    </row>
    <row r="45" spans="1:19" x14ac:dyDescent="0.35">
      <c r="A45" s="12" t="s">
        <v>257</v>
      </c>
      <c r="C45" s="4" t="s">
        <v>324</v>
      </c>
      <c r="D45" s="3" t="s">
        <v>407</v>
      </c>
      <c r="H45" s="46"/>
      <c r="I45" s="14"/>
      <c r="J45" s="13"/>
      <c r="K45" s="13"/>
      <c r="L45" s="13"/>
      <c r="M45" s="13"/>
      <c r="N45" s="13"/>
      <c r="O45" s="13"/>
      <c r="P45" s="23"/>
    </row>
    <row r="46" spans="1:19" x14ac:dyDescent="0.35">
      <c r="A46" s="12" t="s">
        <v>261</v>
      </c>
      <c r="C46" s="4" t="s">
        <v>324</v>
      </c>
      <c r="D46" s="3" t="s">
        <v>407</v>
      </c>
      <c r="H46" s="46"/>
      <c r="I46" s="45" t="s">
        <v>323</v>
      </c>
      <c r="P46" s="46"/>
    </row>
    <row r="47" spans="1:19" x14ac:dyDescent="0.35">
      <c r="A47" s="12" t="s">
        <v>258</v>
      </c>
      <c r="C47" s="4" t="s">
        <v>324</v>
      </c>
      <c r="D47" s="3" t="s">
        <v>407</v>
      </c>
      <c r="H47" s="46"/>
      <c r="I47" s="12"/>
      <c r="J47" s="4" t="s">
        <v>410</v>
      </c>
      <c r="P47" s="46"/>
    </row>
    <row r="48" spans="1:19" x14ac:dyDescent="0.35">
      <c r="A48" s="12" t="s">
        <v>259</v>
      </c>
      <c r="C48" s="4" t="s">
        <v>324</v>
      </c>
      <c r="H48" s="46"/>
      <c r="I48" s="12"/>
      <c r="P48" s="46"/>
    </row>
    <row r="49" spans="1:16" x14ac:dyDescent="0.35">
      <c r="A49" s="14" t="s">
        <v>406</v>
      </c>
      <c r="B49" s="13"/>
      <c r="C49" s="143" t="s">
        <v>324</v>
      </c>
      <c r="D49" s="13"/>
      <c r="E49" s="13"/>
      <c r="F49" s="13"/>
      <c r="G49" s="13"/>
      <c r="H49" s="23"/>
      <c r="I49" s="45" t="s">
        <v>266</v>
      </c>
      <c r="P49" s="46"/>
    </row>
    <row r="50" spans="1:16" x14ac:dyDescent="0.35">
      <c r="A50" s="45" t="s">
        <v>262</v>
      </c>
      <c r="H50" s="46"/>
      <c r="I50" s="12"/>
      <c r="J50" s="4" t="s">
        <v>411</v>
      </c>
      <c r="P50" s="46"/>
    </row>
    <row r="51" spans="1:16" x14ac:dyDescent="0.35">
      <c r="A51" s="12" t="s">
        <v>257</v>
      </c>
      <c r="C51" s="4" t="s">
        <v>324</v>
      </c>
      <c r="D51" s="3" t="s">
        <v>407</v>
      </c>
      <c r="H51" s="46"/>
      <c r="I51" s="12"/>
      <c r="P51" s="46"/>
    </row>
    <row r="52" spans="1:16" x14ac:dyDescent="0.35">
      <c r="A52" s="12" t="s">
        <v>263</v>
      </c>
      <c r="C52" s="4" t="s">
        <v>324</v>
      </c>
      <c r="D52" s="3" t="s">
        <v>407</v>
      </c>
      <c r="H52" s="46"/>
      <c r="I52" s="45" t="s">
        <v>267</v>
      </c>
      <c r="P52" s="46"/>
    </row>
    <row r="53" spans="1:16" x14ac:dyDescent="0.35">
      <c r="A53" s="12" t="s">
        <v>264</v>
      </c>
      <c r="C53" s="4" t="s">
        <v>324</v>
      </c>
      <c r="D53" s="3" t="s">
        <v>407</v>
      </c>
      <c r="H53" s="46"/>
      <c r="I53" s="12"/>
      <c r="J53" s="4" t="s">
        <v>324</v>
      </c>
      <c r="P53" s="46"/>
    </row>
    <row r="54" spans="1:16" x14ac:dyDescent="0.35">
      <c r="A54" s="14"/>
      <c r="B54" s="13"/>
      <c r="C54" s="13"/>
      <c r="D54" s="13"/>
      <c r="E54" s="13"/>
      <c r="F54" s="13"/>
      <c r="G54" s="13"/>
      <c r="H54" s="23"/>
      <c r="I54" s="14"/>
      <c r="J54" s="13"/>
      <c r="K54" s="13"/>
      <c r="L54" s="13"/>
      <c r="M54" s="13"/>
      <c r="N54" s="13"/>
      <c r="O54" s="13"/>
      <c r="P54" s="23"/>
    </row>
  </sheetData>
  <mergeCells count="4">
    <mergeCell ref="A1:H1"/>
    <mergeCell ref="A9:H9"/>
    <mergeCell ref="A15:H15"/>
    <mergeCell ref="I1:P1"/>
  </mergeCells>
  <pageMargins left="0.7" right="0.7" top="0.75" bottom="0.75" header="0.3" footer="0.3"/>
  <pageSetup scale="80" orientation="portrait" r:id="rId1"/>
  <colBreaks count="1" manualBreakCount="1">
    <brk id="8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Life Cycle Data Worksheet</vt:lpstr>
      <vt:lpstr>Design Schedule</vt:lpstr>
      <vt:lpstr>Compensation</vt:lpstr>
      <vt:lpstr>Service Order</vt:lpstr>
      <vt:lpstr>Project Tracking Report</vt:lpstr>
      <vt:lpstr>Compensation!Print_Area</vt:lpstr>
      <vt:lpstr>'Design Schedule'!Print_Area</vt:lpstr>
      <vt:lpstr>'Life Cycle Data Worksheet'!Print_Area</vt:lpstr>
      <vt:lpstr>'Project Tracking Report'!Print_Area</vt:lpstr>
      <vt:lpstr>'Service Order'!Print_Area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cp:lastPrinted>2025-11-20T16:54:10Z</cp:lastPrinted>
  <dcterms:created xsi:type="dcterms:W3CDTF">2025-10-28T19:56:25Z</dcterms:created>
  <dcterms:modified xsi:type="dcterms:W3CDTF">2026-07-06T18:49:09Z</dcterms:modified>
</cp:coreProperties>
</file>